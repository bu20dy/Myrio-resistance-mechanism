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82d435\Documents\PDS project\"/>
    </mc:Choice>
  </mc:AlternateContent>
  <xr:revisionPtr revIDLastSave="0" documentId="13_ncr:1_{3DC38F1C-0FAB-46A6-B9A8-1E28218D3CE9}" xr6:coauthVersionLast="47" xr6:coauthVersionMax="47" xr10:uidLastSave="{00000000-0000-0000-0000-000000000000}"/>
  <bookViews>
    <workbookView xWindow="9372" yWindow="0" windowWidth="13764" windowHeight="12336" xr2:uid="{120444E1-65BA-CD47-86F0-32876F11B3FB}"/>
  </bookViews>
  <sheets>
    <sheet name="RANKED" sheetId="16" r:id="rId1"/>
    <sheet name="AVERAGE" sheetId="13" r:id="rId2"/>
  </sheet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3" l="1"/>
  <c r="F31" i="13"/>
  <c r="F30" i="13"/>
  <c r="F29" i="13"/>
  <c r="G29" i="13" s="1"/>
  <c r="F28" i="13"/>
  <c r="G28" i="13" s="1"/>
  <c r="F27" i="13"/>
  <c r="F26" i="13"/>
  <c r="G26" i="13" s="1"/>
  <c r="F25" i="13"/>
  <c r="F24" i="13"/>
  <c r="F23" i="13"/>
  <c r="F22" i="13"/>
  <c r="F21" i="13"/>
  <c r="F20" i="13"/>
  <c r="F19" i="13"/>
  <c r="F18" i="13"/>
  <c r="F17" i="13"/>
  <c r="G17" i="13" s="1"/>
  <c r="F16" i="13"/>
  <c r="F15" i="13"/>
  <c r="F14" i="13"/>
  <c r="F13" i="13"/>
  <c r="G13" i="13" s="1"/>
  <c r="F12" i="13"/>
  <c r="F11" i="13"/>
  <c r="G11" i="13" s="1"/>
  <c r="F10" i="13"/>
  <c r="G10" i="13" s="1"/>
  <c r="F9" i="13"/>
  <c r="F8" i="13"/>
  <c r="F7" i="13"/>
  <c r="G14" i="13"/>
  <c r="G16" i="13"/>
  <c r="G19" i="13"/>
  <c r="G20" i="13"/>
  <c r="G22" i="13"/>
  <c r="F6" i="13"/>
  <c r="G48" i="16"/>
  <c r="H48" i="16" s="1"/>
  <c r="H16" i="16"/>
  <c r="G16" i="16"/>
  <c r="F64" i="13"/>
  <c r="F63" i="13"/>
  <c r="F62" i="13"/>
  <c r="F61" i="13"/>
  <c r="F60" i="13"/>
  <c r="G60" i="13" s="1"/>
  <c r="F59" i="13"/>
  <c r="F58" i="13"/>
  <c r="G58" i="13" s="1"/>
  <c r="F57" i="13"/>
  <c r="G57" i="13" s="1"/>
  <c r="F56" i="13"/>
  <c r="F55" i="13"/>
  <c r="G55" i="13" s="1"/>
  <c r="F54" i="13"/>
  <c r="F53" i="13"/>
  <c r="F52" i="13"/>
  <c r="G52" i="13" s="1"/>
  <c r="F51" i="13"/>
  <c r="F50" i="13"/>
  <c r="F49" i="13"/>
  <c r="G49" i="13" s="1"/>
  <c r="F48" i="13"/>
  <c r="F47" i="13"/>
  <c r="F46" i="13"/>
  <c r="F45" i="13"/>
  <c r="F44" i="13"/>
  <c r="F43" i="13"/>
  <c r="G43" i="13" s="1"/>
  <c r="F42" i="13"/>
  <c r="G42" i="13" s="1"/>
  <c r="F41" i="13"/>
  <c r="F40" i="13"/>
  <c r="F39" i="13"/>
  <c r="F38" i="13"/>
  <c r="G45" i="13"/>
  <c r="G46" i="13"/>
  <c r="G51" i="13"/>
  <c r="G54" i="13"/>
  <c r="G40" i="13"/>
  <c r="G48" i="13"/>
  <c r="G61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G40" i="16"/>
  <c r="G41" i="16"/>
  <c r="H41" i="16" s="1"/>
  <c r="G42" i="16"/>
  <c r="H42" i="16" s="1"/>
  <c r="G43" i="16"/>
  <c r="H43" i="16" s="1"/>
  <c r="G44" i="16"/>
  <c r="H44" i="16" s="1"/>
  <c r="G45" i="16"/>
  <c r="H45" i="16" s="1"/>
  <c r="G46" i="16"/>
  <c r="H46" i="16" s="1"/>
  <c r="G47" i="16"/>
  <c r="H47" i="16" s="1"/>
  <c r="G49" i="16"/>
  <c r="H49" i="16" s="1"/>
  <c r="G50" i="16"/>
  <c r="H50" i="16" s="1"/>
  <c r="G51" i="16"/>
  <c r="H51" i="16" s="1"/>
  <c r="G52" i="16"/>
  <c r="H52" i="16" s="1"/>
  <c r="G53" i="16"/>
  <c r="H53" i="16" s="1"/>
  <c r="G54" i="16"/>
  <c r="H54" i="16" s="1"/>
  <c r="G55" i="16"/>
  <c r="H55" i="16" s="1"/>
  <c r="G56" i="16"/>
  <c r="H56" i="16" s="1"/>
  <c r="G57" i="16"/>
  <c r="H57" i="16" s="1"/>
  <c r="G58" i="16"/>
  <c r="H58" i="16" s="1"/>
  <c r="D12" i="16"/>
  <c r="D13" i="16"/>
  <c r="D14" i="16"/>
  <c r="D15" i="16"/>
  <c r="D17" i="16"/>
  <c r="D18" i="16"/>
  <c r="D19" i="16"/>
  <c r="D20" i="16"/>
  <c r="D21" i="16"/>
  <c r="D22" i="16"/>
  <c r="D23" i="16"/>
  <c r="D24" i="16"/>
  <c r="D25" i="16"/>
  <c r="D26" i="16"/>
  <c r="H19" i="16"/>
  <c r="H23" i="16"/>
  <c r="H24" i="16"/>
  <c r="H25" i="16"/>
  <c r="H26" i="16"/>
  <c r="G12" i="16"/>
  <c r="H12" i="16" s="1"/>
  <c r="G13" i="16"/>
  <c r="H13" i="16" s="1"/>
  <c r="G14" i="16"/>
  <c r="H14" i="16" s="1"/>
  <c r="G15" i="16"/>
  <c r="H15" i="16" s="1"/>
  <c r="G17" i="16"/>
  <c r="H17" i="16" s="1"/>
  <c r="G18" i="16"/>
  <c r="H18" i="16" s="1"/>
  <c r="G19" i="16"/>
  <c r="G20" i="16"/>
  <c r="H20" i="16" s="1"/>
  <c r="G21" i="16"/>
  <c r="H21" i="16" s="1"/>
  <c r="G22" i="16"/>
  <c r="H22" i="16" s="1"/>
  <c r="G23" i="16"/>
  <c r="G24" i="16"/>
  <c r="G25" i="16"/>
  <c r="G26" i="16"/>
  <c r="G27" i="16"/>
  <c r="H27" i="16" s="1"/>
  <c r="G59" i="16"/>
  <c r="H59" i="16" s="1"/>
  <c r="G60" i="16"/>
  <c r="H60" i="16" s="1"/>
  <c r="G61" i="16"/>
  <c r="H61" i="16" s="1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G23" i="13"/>
  <c r="G25" i="13"/>
  <c r="D11" i="13"/>
  <c r="D12" i="13"/>
  <c r="D13" i="13"/>
  <c r="D14" i="13"/>
  <c r="D15" i="13"/>
  <c r="D17" i="13"/>
  <c r="E15" i="13" s="1"/>
  <c r="D18" i="13"/>
  <c r="D19" i="13"/>
  <c r="D20" i="13"/>
  <c r="D21" i="13"/>
  <c r="D22" i="13"/>
  <c r="D23" i="13"/>
  <c r="D24" i="13"/>
  <c r="D25" i="13"/>
  <c r="D26" i="13"/>
  <c r="D27" i="13"/>
  <c r="D28" i="13"/>
  <c r="D29" i="13"/>
  <c r="J122" i="16"/>
  <c r="K122" i="16" s="1"/>
  <c r="J121" i="16"/>
  <c r="K121" i="16" s="1"/>
  <c r="J120" i="16"/>
  <c r="K120" i="16" s="1"/>
  <c r="J108" i="16"/>
  <c r="K108" i="16" s="1"/>
  <c r="J105" i="16"/>
  <c r="K105" i="16" s="1"/>
  <c r="J104" i="16"/>
  <c r="K104" i="16" s="1"/>
  <c r="J103" i="16"/>
  <c r="K103" i="16" s="1"/>
  <c r="J89" i="16"/>
  <c r="K89" i="16" s="1"/>
  <c r="J88" i="16"/>
  <c r="K88" i="16" s="1"/>
  <c r="J87" i="16"/>
  <c r="K87" i="16" s="1"/>
  <c r="G64" i="16"/>
  <c r="H64" i="16" s="1"/>
  <c r="D64" i="16"/>
  <c r="G63" i="16"/>
  <c r="H63" i="16" s="1"/>
  <c r="D63" i="16"/>
  <c r="G62" i="16"/>
  <c r="H62" i="16" s="1"/>
  <c r="D62" i="16"/>
  <c r="D61" i="16"/>
  <c r="D45" i="16"/>
  <c r="D44" i="16"/>
  <c r="D43" i="16"/>
  <c r="D42" i="16"/>
  <c r="D41" i="16"/>
  <c r="H40" i="16"/>
  <c r="D40" i="16"/>
  <c r="G39" i="16"/>
  <c r="H39" i="16" s="1"/>
  <c r="D39" i="16"/>
  <c r="G38" i="16"/>
  <c r="H38" i="16" s="1"/>
  <c r="D38" i="16"/>
  <c r="G32" i="16"/>
  <c r="H32" i="16" s="1"/>
  <c r="D32" i="16"/>
  <c r="G31" i="16"/>
  <c r="H31" i="16" s="1"/>
  <c r="D31" i="16"/>
  <c r="G30" i="16"/>
  <c r="H30" i="16" s="1"/>
  <c r="D30" i="16"/>
  <c r="G29" i="16"/>
  <c r="H29" i="16" s="1"/>
  <c r="D29" i="16"/>
  <c r="G28" i="16"/>
  <c r="H28" i="16" s="1"/>
  <c r="D28" i="16"/>
  <c r="D27" i="16"/>
  <c r="G11" i="16"/>
  <c r="H11" i="16" s="1"/>
  <c r="D11" i="16"/>
  <c r="G10" i="16"/>
  <c r="H10" i="16" s="1"/>
  <c r="D10" i="16"/>
  <c r="G9" i="16"/>
  <c r="H9" i="16" s="1"/>
  <c r="D9" i="16"/>
  <c r="G8" i="16"/>
  <c r="H8" i="16" s="1"/>
  <c r="D8" i="16"/>
  <c r="G7" i="16"/>
  <c r="H7" i="16" s="1"/>
  <c r="D7" i="16"/>
  <c r="G6" i="16"/>
  <c r="H6" i="16" s="1"/>
  <c r="D6" i="16"/>
  <c r="G64" i="13"/>
  <c r="G63" i="13"/>
  <c r="G31" i="13"/>
  <c r="D30" i="13"/>
  <c r="D31" i="13"/>
  <c r="D64" i="13"/>
  <c r="D63" i="13"/>
  <c r="D40" i="13"/>
  <c r="G39" i="13"/>
  <c r="D39" i="13"/>
  <c r="D38" i="13"/>
  <c r="G32" i="13"/>
  <c r="D32" i="13"/>
  <c r="D10" i="13"/>
  <c r="D9" i="13"/>
  <c r="G8" i="13"/>
  <c r="D8" i="13"/>
  <c r="G7" i="13"/>
  <c r="D7" i="13"/>
  <c r="D6" i="13"/>
  <c r="E12" i="13" l="1"/>
  <c r="G12" i="13" s="1"/>
  <c r="E27" i="13"/>
  <c r="G27" i="13" s="1"/>
  <c r="E9" i="13"/>
  <c r="G9" i="13" s="1"/>
  <c r="E18" i="13"/>
  <c r="G50" i="13" s="1"/>
  <c r="E24" i="13"/>
  <c r="G24" i="13" s="1"/>
  <c r="E6" i="13"/>
  <c r="G38" i="13" s="1"/>
  <c r="E30" i="13"/>
  <c r="G30" i="13" s="1"/>
  <c r="E21" i="13"/>
  <c r="G21" i="13" s="1"/>
  <c r="G15" i="13"/>
  <c r="G47" i="13"/>
  <c r="G6" i="13"/>
  <c r="G41" i="13"/>
  <c r="G59" i="13" l="1"/>
  <c r="G44" i="13"/>
  <c r="G56" i="13"/>
  <c r="G53" i="13"/>
  <c r="G62" i="13"/>
  <c r="G18" i="13"/>
</calcChain>
</file>

<file path=xl/sharedStrings.xml><?xml version="1.0" encoding="utf-8"?>
<sst xmlns="http://schemas.openxmlformats.org/spreadsheetml/2006/main" count="207" uniqueCount="69">
  <si>
    <t>Sample</t>
  </si>
  <si>
    <t>Ranked sample</t>
  </si>
  <si>
    <t>control</t>
  </si>
  <si>
    <t>pds</t>
  </si>
  <si>
    <t>otu1</t>
  </si>
  <si>
    <t>Cq(PDS) - Cq(otu1)</t>
  </si>
  <si>
    <t>Cq</t>
  </si>
  <si>
    <t>dCq</t>
  </si>
  <si>
    <t>Ranked dCq (high&gt;low)</t>
  </si>
  <si>
    <t>Ranked ddCq (HIGH&gt;LOW)</t>
  </si>
  <si>
    <t>Ranked fold change (2^(-ddCq))</t>
  </si>
  <si>
    <t>fluridone</t>
  </si>
  <si>
    <t>L1-4</t>
  </si>
  <si>
    <t>L1-5</t>
  </si>
  <si>
    <t>L1-6</t>
  </si>
  <si>
    <t>L3-1</t>
  </si>
  <si>
    <t>L3-2</t>
  </si>
  <si>
    <t>L3-4</t>
  </si>
  <si>
    <t>L4-2</t>
  </si>
  <si>
    <t>L4-3</t>
  </si>
  <si>
    <t>L4-4</t>
  </si>
  <si>
    <t>M1-5</t>
  </si>
  <si>
    <t>M1-2</t>
  </si>
  <si>
    <t>M1-6</t>
  </si>
  <si>
    <t>M3-3</t>
  </si>
  <si>
    <t>M3-4</t>
  </si>
  <si>
    <t>M3-5</t>
  </si>
  <si>
    <t>M4-1</t>
  </si>
  <si>
    <t>M4-4</t>
  </si>
  <si>
    <t>M4-6</t>
  </si>
  <si>
    <t>T1-1</t>
  </si>
  <si>
    <t>T1-3</t>
  </si>
  <si>
    <t>T1-5</t>
  </si>
  <si>
    <t>T3-1</t>
  </si>
  <si>
    <t>T3-2</t>
  </si>
  <si>
    <t>T3-6</t>
  </si>
  <si>
    <t>T4-1</t>
  </si>
  <si>
    <t>T4-3</t>
  </si>
  <si>
    <t>T4-6</t>
  </si>
  <si>
    <t>L1-1</t>
  </si>
  <si>
    <t>L1-2</t>
  </si>
  <si>
    <t>L1-3</t>
  </si>
  <si>
    <t>L3-3</t>
  </si>
  <si>
    <t>L3-5</t>
  </si>
  <si>
    <t>L3-6</t>
  </si>
  <si>
    <t>L4-1</t>
  </si>
  <si>
    <t>L4-5</t>
  </si>
  <si>
    <t>L4-6</t>
  </si>
  <si>
    <t>M1-1</t>
  </si>
  <si>
    <t>M1-3</t>
  </si>
  <si>
    <t>M1-4</t>
  </si>
  <si>
    <t>M3-1</t>
  </si>
  <si>
    <t>M3-2</t>
  </si>
  <si>
    <t>M3-6</t>
  </si>
  <si>
    <t>M4-2</t>
  </si>
  <si>
    <t>M4-3</t>
  </si>
  <si>
    <t>M4-5</t>
  </si>
  <si>
    <t>T1-2</t>
  </si>
  <si>
    <t>T1-4</t>
  </si>
  <si>
    <t>T1-6</t>
  </si>
  <si>
    <t>T3-3</t>
  </si>
  <si>
    <t>T3-4</t>
  </si>
  <si>
    <t>T4-2</t>
  </si>
  <si>
    <t>T4-4</t>
  </si>
  <si>
    <t>T3-5</t>
  </si>
  <si>
    <t>T4-5</t>
  </si>
  <si>
    <t>AVERAGE dCq</t>
  </si>
  <si>
    <t>AVERAGE ddCq</t>
  </si>
  <si>
    <t>fold change (2^(-ddCq))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</si>
</sst>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;\-###0.00"/>
    <numFmt numFmtId="165" formatCode="0.000000000000000"/>
    <numFmt numFmtId="166" formatCode="0.00000000000000"/>
  </numFmts>
  <fonts count="6" x14ac:knownFonts="1">
    <font>
      <sz val="12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6E0B4"/>
        <bgColor rgb="FF000000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2" fontId="2" fillId="0" borderId="0" xfId="0" applyNumberFormat="1" applyFont="1" applyAlignment="1" applyProtection="1">
      <alignment vertical="top"/>
      <protection locked="0"/>
    </xf>
    <xf numFmtId="2" fontId="2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49" fontId="2" fillId="0" borderId="1" xfId="0" applyNumberFormat="1" applyFont="1" applyBorder="1" applyAlignment="1">
      <alignment horizontal="left" vertical="center"/>
    </xf>
    <xf numFmtId="2" fontId="3" fillId="0" borderId="2" xfId="0" applyNumberFormat="1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left" vertical="top"/>
      <protection locked="0"/>
    </xf>
    <xf numFmtId="2" fontId="2" fillId="0" borderId="2" xfId="0" applyNumberFormat="1" applyFont="1" applyBorder="1" applyAlignment="1" applyProtection="1">
      <alignment horizontal="center" vertical="top"/>
      <protection locked="0"/>
    </xf>
    <xf numFmtId="0" fontId="2" fillId="0" borderId="2" xfId="0" applyFont="1" applyBorder="1" applyAlignment="1" applyProtection="1">
      <alignment horizontal="center" vertical="top"/>
      <protection locked="0"/>
    </xf>
    <xf numFmtId="2" fontId="2" fillId="0" borderId="3" xfId="0" applyNumberFormat="1" applyFont="1" applyBorder="1" applyAlignment="1" applyProtection="1">
      <alignment horizontal="center" vertical="top"/>
      <protection locked="0"/>
    </xf>
    <xf numFmtId="2" fontId="2" fillId="0" borderId="0" xfId="0" applyNumberFormat="1" applyFont="1" applyAlignment="1">
      <alignment vertical="center"/>
    </xf>
    <xf numFmtId="2" fontId="2" fillId="0" borderId="6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Fon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/>
    <xf numFmtId="2" fontId="4" fillId="5" borderId="5" xfId="0" applyNumberFormat="1" applyFont="1" applyFill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2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3" fillId="2" borderId="9" xfId="0" applyFont="1" applyFill="1" applyBorder="1" applyAlignment="1" applyProtection="1">
      <alignment horizontal="left" vertical="top"/>
      <protection locked="0"/>
    </xf>
    <xf numFmtId="0" fontId="3" fillId="3" borderId="9" xfId="0" applyFont="1" applyFill="1" applyBorder="1" applyAlignment="1" applyProtection="1">
      <alignment horizontal="center" vertical="top"/>
      <protection locked="0"/>
    </xf>
    <xf numFmtId="0" fontId="4" fillId="0" borderId="7" xfId="0" applyFont="1" applyBorder="1"/>
    <xf numFmtId="2" fontId="4" fillId="0" borderId="6" xfId="0" applyNumberFormat="1" applyFont="1" applyBorder="1"/>
    <xf numFmtId="2" fontId="4" fillId="5" borderId="8" xfId="0" applyNumberFormat="1" applyFont="1" applyFill="1" applyBorder="1" applyAlignment="1">
      <alignment horizontal="center"/>
    </xf>
    <xf numFmtId="0" fontId="4" fillId="2" borderId="0" xfId="0" applyFont="1" applyFill="1"/>
    <xf numFmtId="2" fontId="4" fillId="3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3" fillId="0" borderId="10" xfId="0" applyNumberFormat="1" applyFont="1" applyBorder="1" applyAlignment="1">
      <alignment horizontal="left" vertical="center"/>
    </xf>
    <xf numFmtId="2" fontId="3" fillId="0" borderId="9" xfId="0" applyNumberFormat="1" applyFont="1" applyBorder="1" applyAlignment="1" applyProtection="1">
      <alignment horizontal="center" vertical="top"/>
      <protection locked="0"/>
    </xf>
    <xf numFmtId="2" fontId="3" fillId="4" borderId="9" xfId="0" applyNumberFormat="1" applyFont="1" applyFill="1" applyBorder="1" applyAlignment="1" applyProtection="1">
      <alignment horizontal="center" vertical="top"/>
      <protection locked="0"/>
    </xf>
    <xf numFmtId="2" fontId="3" fillId="5" borderId="11" xfId="0" applyNumberFormat="1" applyFont="1" applyFill="1" applyBorder="1" applyAlignment="1" applyProtection="1">
      <alignment horizontal="center" vertical="top"/>
      <protection locked="0"/>
    </xf>
    <xf numFmtId="0" fontId="4" fillId="0" borderId="1" xfId="0" applyFont="1" applyBorder="1"/>
    <xf numFmtId="2" fontId="2" fillId="0" borderId="2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horizontal="center"/>
    </xf>
    <xf numFmtId="0" fontId="4" fillId="2" borderId="2" xfId="0" applyFont="1" applyFill="1" applyBorder="1"/>
    <xf numFmtId="2" fontId="4" fillId="3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2" fontId="4" fillId="5" borderId="3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vertical="center"/>
    </xf>
    <xf numFmtId="16" fontId="4" fillId="0" borderId="4" xfId="0" applyNumberFormat="1" applyFont="1" applyBorder="1"/>
    <xf numFmtId="0" fontId="4" fillId="0" borderId="12" xfId="0" applyFont="1" applyBorder="1"/>
    <xf numFmtId="2" fontId="2" fillId="0" borderId="13" xfId="0" applyNumberFormat="1" applyFont="1" applyBorder="1" applyAlignment="1">
      <alignment vertical="center"/>
    </xf>
    <xf numFmtId="2" fontId="4" fillId="0" borderId="13" xfId="0" applyNumberFormat="1" applyFont="1" applyBorder="1" applyAlignment="1">
      <alignment horizontal="center"/>
    </xf>
    <xf numFmtId="0" fontId="4" fillId="2" borderId="13" xfId="0" applyFont="1" applyFill="1" applyBorder="1"/>
    <xf numFmtId="2" fontId="4" fillId="3" borderId="13" xfId="0" applyNumberFormat="1" applyFont="1" applyFill="1" applyBorder="1" applyAlignment="1">
      <alignment horizontal="center"/>
    </xf>
    <xf numFmtId="2" fontId="4" fillId="4" borderId="13" xfId="0" applyNumberFormat="1" applyFont="1" applyFill="1" applyBorder="1" applyAlignment="1">
      <alignment horizontal="center"/>
    </xf>
    <xf numFmtId="2" fontId="4" fillId="5" borderId="14" xfId="0" applyNumberFormat="1" applyFont="1" applyFill="1" applyBorder="1" applyAlignment="1">
      <alignment horizontal="center"/>
    </xf>
    <xf numFmtId="0" fontId="0" fillId="0" borderId="13" xfId="0" applyBorder="1"/>
    <xf numFmtId="164" fontId="2" fillId="0" borderId="13" xfId="0" applyNumberFormat="1" applyFont="1" applyBorder="1" applyAlignment="1">
      <alignment vertical="center"/>
    </xf>
    <xf numFmtId="2" fontId="4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71F6-4B10-46B0-B40B-58FCA24F2A49}">
  <dimension ref="A1:K124"/>
  <sheetViews>
    <sheetView tabSelected="1" topLeftCell="D44" workbookViewId="0">
      <selection activeCell="H63" sqref="H63"/>
    </sheetView>
  </sheetViews>
  <sheetFormatPr defaultColWidth="11" defaultRowHeight="15.6" x14ac:dyDescent="0.3"/>
  <cols>
    <col min="1" max="1" width="13.3984375" customWidth="1"/>
    <col min="2" max="2" width="12.3984375" customWidth="1"/>
    <col min="4" max="4" width="19.09765625" bestFit="1" customWidth="1"/>
    <col min="5" max="5" width="16.19921875" customWidth="1"/>
    <col min="6" max="6" width="22.8984375" bestFit="1" customWidth="1"/>
    <col min="7" max="7" width="27.8984375" customWidth="1"/>
    <col min="8" max="8" width="31.09765625" bestFit="1" customWidth="1"/>
    <col min="11" max="11" width="17.59765625" bestFit="1" customWidth="1"/>
  </cols>
  <sheetData>
    <row r="1" spans="1:8" x14ac:dyDescent="0.3">
      <c r="A1" s="15"/>
      <c r="B1" s="16"/>
      <c r="C1" s="16"/>
      <c r="D1" s="17"/>
      <c r="E1" s="15"/>
      <c r="F1" s="18"/>
      <c r="G1" s="17"/>
      <c r="H1" s="17"/>
    </row>
    <row r="2" spans="1:8" ht="17.399999999999999" x14ac:dyDescent="0.3">
      <c r="A2" s="1"/>
      <c r="B2" s="1"/>
      <c r="C2" s="16"/>
      <c r="D2" s="17"/>
      <c r="E2" s="15"/>
      <c r="F2" s="18"/>
      <c r="G2" s="17"/>
      <c r="H2" s="17"/>
    </row>
    <row r="3" spans="1:8" ht="16.2" thickBot="1" x14ac:dyDescent="0.35">
      <c r="A3" s="15"/>
      <c r="B3" s="2"/>
      <c r="C3" s="2"/>
      <c r="D3" s="3"/>
      <c r="E3" s="4"/>
      <c r="F3" s="5"/>
      <c r="G3" s="3"/>
      <c r="H3" s="3"/>
    </row>
    <row r="4" spans="1:8" x14ac:dyDescent="0.3">
      <c r="A4" s="6" t="s">
        <v>2</v>
      </c>
      <c r="B4" s="7" t="s">
        <v>3</v>
      </c>
      <c r="C4" s="7" t="s">
        <v>4</v>
      </c>
      <c r="D4" s="7" t="s">
        <v>5</v>
      </c>
      <c r="E4" s="8"/>
      <c r="F4" s="10"/>
      <c r="G4" s="9"/>
      <c r="H4" s="11"/>
    </row>
    <row r="5" spans="1:8" ht="16.2" thickBot="1" x14ac:dyDescent="0.35">
      <c r="A5" s="38" t="s">
        <v>0</v>
      </c>
      <c r="B5" s="39" t="s">
        <v>6</v>
      </c>
      <c r="C5" s="39" t="s">
        <v>6</v>
      </c>
      <c r="D5" s="39" t="s">
        <v>7</v>
      </c>
      <c r="E5" s="27" t="s">
        <v>1</v>
      </c>
      <c r="F5" s="28" t="s">
        <v>8</v>
      </c>
      <c r="G5" s="40" t="s">
        <v>9</v>
      </c>
      <c r="H5" s="41" t="s">
        <v>10</v>
      </c>
    </row>
    <row r="6" spans="1:8" x14ac:dyDescent="0.3">
      <c r="A6" s="42" t="s">
        <v>12</v>
      </c>
      <c r="B6" s="43">
        <v>30.275990569999998</v>
      </c>
      <c r="C6" s="43">
        <v>29.614167739999999</v>
      </c>
      <c r="D6" s="44">
        <f>B6-C6</f>
        <v>0.66182282999999842</v>
      </c>
      <c r="E6" s="45" t="s">
        <v>13</v>
      </c>
      <c r="F6" s="46">
        <v>1.7019011800000001</v>
      </c>
      <c r="G6" s="47">
        <f>F6-F6</f>
        <v>0</v>
      </c>
      <c r="H6" s="48">
        <f t="shared" ref="H6:H32" si="0">(2^(-G6))</f>
        <v>1</v>
      </c>
    </row>
    <row r="7" spans="1:8" x14ac:dyDescent="0.3">
      <c r="A7" s="19" t="s">
        <v>13</v>
      </c>
      <c r="B7" s="12">
        <v>34.698325150000002</v>
      </c>
      <c r="C7" s="12">
        <v>32.996423970000002</v>
      </c>
      <c r="D7" s="17">
        <f t="shared" ref="D7:D32" si="1">B7-C7</f>
        <v>1.7019011800000001</v>
      </c>
      <c r="E7" s="32" t="s">
        <v>14</v>
      </c>
      <c r="F7" s="33">
        <v>0.91161385000000195</v>
      </c>
      <c r="G7" s="34">
        <f t="shared" ref="G7:G32" si="2">F7-F7</f>
        <v>0</v>
      </c>
      <c r="H7" s="20">
        <f t="shared" si="0"/>
        <v>1</v>
      </c>
    </row>
    <row r="8" spans="1:8" s="58" customFormat="1" x14ac:dyDescent="0.3">
      <c r="A8" s="51" t="s">
        <v>14</v>
      </c>
      <c r="B8" s="52">
        <v>33.777300459999999</v>
      </c>
      <c r="C8" s="52">
        <v>32.865686609999997</v>
      </c>
      <c r="D8" s="53">
        <f t="shared" si="1"/>
        <v>0.91161385000000195</v>
      </c>
      <c r="E8" s="54" t="s">
        <v>12</v>
      </c>
      <c r="F8" s="55">
        <v>0.66182282999999842</v>
      </c>
      <c r="G8" s="56">
        <f t="shared" si="2"/>
        <v>0</v>
      </c>
      <c r="H8" s="57">
        <f t="shared" si="0"/>
        <v>1</v>
      </c>
    </row>
    <row r="9" spans="1:8" x14ac:dyDescent="0.3">
      <c r="A9" s="19" t="s">
        <v>15</v>
      </c>
      <c r="B9" s="49">
        <v>34.889302839999999</v>
      </c>
      <c r="C9" s="16">
        <v>32.667286539999999</v>
      </c>
      <c r="D9" s="17">
        <f t="shared" si="1"/>
        <v>2.2220162999999999</v>
      </c>
      <c r="E9" s="32" t="s">
        <v>15</v>
      </c>
      <c r="F9" s="33">
        <v>2.2220162999999999</v>
      </c>
      <c r="G9" s="34">
        <f t="shared" si="2"/>
        <v>0</v>
      </c>
      <c r="H9" s="20">
        <f t="shared" si="0"/>
        <v>1</v>
      </c>
    </row>
    <row r="10" spans="1:8" x14ac:dyDescent="0.3">
      <c r="A10" s="19" t="s">
        <v>16</v>
      </c>
      <c r="B10" s="49">
        <v>30.755911260000001</v>
      </c>
      <c r="C10" s="16">
        <v>30.464678410000001</v>
      </c>
      <c r="D10" s="17">
        <f t="shared" si="1"/>
        <v>0.2912328500000001</v>
      </c>
      <c r="E10" s="32" t="s">
        <v>17</v>
      </c>
      <c r="F10" s="33">
        <v>1.9694884199999976</v>
      </c>
      <c r="G10" s="34">
        <f t="shared" si="2"/>
        <v>0</v>
      </c>
      <c r="H10" s="20">
        <f t="shared" si="0"/>
        <v>1</v>
      </c>
    </row>
    <row r="11" spans="1:8" s="58" customFormat="1" x14ac:dyDescent="0.3">
      <c r="A11" s="51" t="s">
        <v>17</v>
      </c>
      <c r="B11" s="59">
        <v>34.747717649999998</v>
      </c>
      <c r="C11" s="60">
        <v>32.778229230000001</v>
      </c>
      <c r="D11" s="53">
        <f t="shared" si="1"/>
        <v>1.9694884199999976</v>
      </c>
      <c r="E11" s="54" t="s">
        <v>16</v>
      </c>
      <c r="F11" s="55">
        <v>0.2912328500000001</v>
      </c>
      <c r="G11" s="56">
        <f t="shared" si="2"/>
        <v>0</v>
      </c>
      <c r="H11" s="57">
        <f t="shared" si="0"/>
        <v>1</v>
      </c>
    </row>
    <row r="12" spans="1:8" x14ac:dyDescent="0.3">
      <c r="A12" s="19" t="s">
        <v>18</v>
      </c>
      <c r="B12" s="49">
        <v>33.586031079999998</v>
      </c>
      <c r="C12" s="16">
        <v>32.42149423</v>
      </c>
      <c r="D12" s="17">
        <f t="shared" si="1"/>
        <v>1.1645368499999975</v>
      </c>
      <c r="E12" s="32" t="s">
        <v>20</v>
      </c>
      <c r="F12" s="33">
        <v>2.067589850000001</v>
      </c>
      <c r="G12" s="34">
        <f t="shared" si="2"/>
        <v>0</v>
      </c>
      <c r="H12" s="20">
        <f t="shared" si="0"/>
        <v>1</v>
      </c>
    </row>
    <row r="13" spans="1:8" x14ac:dyDescent="0.3">
      <c r="A13" s="19" t="s">
        <v>19</v>
      </c>
      <c r="B13" s="49">
        <v>31.166719740000001</v>
      </c>
      <c r="C13" s="16">
        <v>30.097736619999999</v>
      </c>
      <c r="D13" s="17">
        <f t="shared" si="1"/>
        <v>1.0689831200000022</v>
      </c>
      <c r="E13" s="32" t="s">
        <v>18</v>
      </c>
      <c r="F13" s="33">
        <v>1.1645368499999975</v>
      </c>
      <c r="G13" s="34">
        <f t="shared" si="2"/>
        <v>0</v>
      </c>
      <c r="H13" s="20">
        <f t="shared" si="0"/>
        <v>1</v>
      </c>
    </row>
    <row r="14" spans="1:8" s="58" customFormat="1" x14ac:dyDescent="0.3">
      <c r="A14" s="51" t="s">
        <v>20</v>
      </c>
      <c r="B14" s="59">
        <v>33.639957039999999</v>
      </c>
      <c r="C14" s="60">
        <v>31.572367189999998</v>
      </c>
      <c r="D14" s="53">
        <f t="shared" si="1"/>
        <v>2.067589850000001</v>
      </c>
      <c r="E14" s="54" t="s">
        <v>19</v>
      </c>
      <c r="F14" s="55">
        <v>1.0689831200000022</v>
      </c>
      <c r="G14" s="56">
        <f t="shared" si="2"/>
        <v>0</v>
      </c>
      <c r="H14" s="57">
        <f t="shared" si="0"/>
        <v>1</v>
      </c>
    </row>
    <row r="15" spans="1:8" x14ac:dyDescent="0.3">
      <c r="A15" s="19" t="s">
        <v>22</v>
      </c>
      <c r="B15" s="49">
        <v>26.879960229999998</v>
      </c>
      <c r="C15" s="16">
        <v>27.190171905</v>
      </c>
      <c r="D15" s="17">
        <f t="shared" si="1"/>
        <v>-0.31021167500000146</v>
      </c>
      <c r="E15" s="32" t="s">
        <v>22</v>
      </c>
      <c r="F15" s="33">
        <v>-0.31021167500000146</v>
      </c>
      <c r="G15" s="34">
        <f t="shared" si="2"/>
        <v>0</v>
      </c>
      <c r="H15" s="20">
        <f t="shared" si="0"/>
        <v>1</v>
      </c>
    </row>
    <row r="16" spans="1:8" x14ac:dyDescent="0.3">
      <c r="A16" s="19" t="s">
        <v>21</v>
      </c>
      <c r="B16" s="49"/>
      <c r="C16" s="16"/>
      <c r="D16" s="17"/>
      <c r="E16" s="32" t="s">
        <v>23</v>
      </c>
      <c r="F16" s="33">
        <v>-1.0120329499999983</v>
      </c>
      <c r="G16" s="34">
        <f t="shared" si="2"/>
        <v>0</v>
      </c>
      <c r="H16" s="20">
        <f t="shared" si="0"/>
        <v>1</v>
      </c>
    </row>
    <row r="17" spans="1:8" s="58" customFormat="1" x14ac:dyDescent="0.3">
      <c r="A17" s="51" t="s">
        <v>23</v>
      </c>
      <c r="B17" s="59">
        <v>33.068858300000002</v>
      </c>
      <c r="C17" s="60">
        <v>34.080891250000001</v>
      </c>
      <c r="D17" s="53">
        <f t="shared" si="1"/>
        <v>-1.0120329499999983</v>
      </c>
      <c r="E17" s="54"/>
      <c r="F17" s="55">
        <v>-1.0120329499999983</v>
      </c>
      <c r="G17" s="56">
        <f t="shared" si="2"/>
        <v>0</v>
      </c>
      <c r="H17" s="57">
        <f t="shared" si="0"/>
        <v>1</v>
      </c>
    </row>
    <row r="18" spans="1:8" x14ac:dyDescent="0.3">
      <c r="A18" s="19" t="s">
        <v>24</v>
      </c>
      <c r="B18" s="49">
        <v>29.364795569999998</v>
      </c>
      <c r="C18" s="16">
        <v>26.726052924999998</v>
      </c>
      <c r="D18" s="17">
        <f t="shared" si="1"/>
        <v>2.6387426450000007</v>
      </c>
      <c r="E18" s="32" t="s">
        <v>24</v>
      </c>
      <c r="F18" s="33">
        <v>2.6387426450000007</v>
      </c>
      <c r="G18" s="34">
        <f t="shared" si="2"/>
        <v>0</v>
      </c>
      <c r="H18" s="20">
        <f t="shared" si="0"/>
        <v>1</v>
      </c>
    </row>
    <row r="19" spans="1:8" x14ac:dyDescent="0.3">
      <c r="A19" s="19" t="s">
        <v>25</v>
      </c>
      <c r="B19" s="49">
        <v>29.84206764</v>
      </c>
      <c r="C19" s="16">
        <v>29.034823485</v>
      </c>
      <c r="D19" s="17">
        <f t="shared" si="1"/>
        <v>0.80724415499999935</v>
      </c>
      <c r="E19" s="32" t="s">
        <v>25</v>
      </c>
      <c r="F19" s="33">
        <v>0.80724415499999935</v>
      </c>
      <c r="G19" s="34">
        <f t="shared" si="2"/>
        <v>0</v>
      </c>
      <c r="H19" s="20">
        <f t="shared" si="0"/>
        <v>1</v>
      </c>
    </row>
    <row r="20" spans="1:8" s="58" customFormat="1" x14ac:dyDescent="0.3">
      <c r="A20" s="51" t="s">
        <v>26</v>
      </c>
      <c r="B20" s="59">
        <v>32.217168334999997</v>
      </c>
      <c r="C20" s="60">
        <v>32.101769249999997</v>
      </c>
      <c r="D20" s="53">
        <f t="shared" si="1"/>
        <v>0.11539908499999996</v>
      </c>
      <c r="E20" s="54" t="s">
        <v>26</v>
      </c>
      <c r="F20" s="55">
        <v>0.11539908499999996</v>
      </c>
      <c r="G20" s="56">
        <f t="shared" si="2"/>
        <v>0</v>
      </c>
      <c r="H20" s="57">
        <f t="shared" si="0"/>
        <v>1</v>
      </c>
    </row>
    <row r="21" spans="1:8" x14ac:dyDescent="0.3">
      <c r="A21" s="19" t="s">
        <v>27</v>
      </c>
      <c r="B21" s="49">
        <v>29.31120542</v>
      </c>
      <c r="C21" s="16">
        <v>28.540958679999999</v>
      </c>
      <c r="D21" s="17">
        <f t="shared" si="1"/>
        <v>0.77024674000000104</v>
      </c>
      <c r="E21" s="32" t="s">
        <v>29</v>
      </c>
      <c r="F21" s="33">
        <v>1.9341729799999996</v>
      </c>
      <c r="G21" s="34">
        <f t="shared" si="2"/>
        <v>0</v>
      </c>
      <c r="H21" s="20">
        <f t="shared" si="0"/>
        <v>1</v>
      </c>
    </row>
    <row r="22" spans="1:8" x14ac:dyDescent="0.3">
      <c r="A22" s="19" t="s">
        <v>28</v>
      </c>
      <c r="B22" s="49">
        <v>28.256040729999999</v>
      </c>
      <c r="C22" s="16">
        <v>26.679602469999999</v>
      </c>
      <c r="D22" s="17">
        <f t="shared" si="1"/>
        <v>1.5764382599999998</v>
      </c>
      <c r="E22" s="32" t="s">
        <v>28</v>
      </c>
      <c r="F22" s="33">
        <v>1.5764382599999998</v>
      </c>
      <c r="G22" s="34">
        <f t="shared" si="2"/>
        <v>0</v>
      </c>
      <c r="H22" s="20">
        <f t="shared" si="0"/>
        <v>1</v>
      </c>
    </row>
    <row r="23" spans="1:8" s="58" customFormat="1" x14ac:dyDescent="0.3">
      <c r="A23" s="51" t="s">
        <v>29</v>
      </c>
      <c r="B23" s="59">
        <v>26.318812579999999</v>
      </c>
      <c r="C23" s="60">
        <v>24.3846396</v>
      </c>
      <c r="D23" s="53">
        <f t="shared" si="1"/>
        <v>1.9341729799999996</v>
      </c>
      <c r="E23" s="54" t="s">
        <v>27</v>
      </c>
      <c r="F23" s="55">
        <v>0.77024674000000104</v>
      </c>
      <c r="G23" s="56">
        <f t="shared" si="2"/>
        <v>0</v>
      </c>
      <c r="H23" s="57">
        <f t="shared" si="0"/>
        <v>1</v>
      </c>
    </row>
    <row r="24" spans="1:8" x14ac:dyDescent="0.3">
      <c r="A24" s="19" t="s">
        <v>30</v>
      </c>
      <c r="B24" s="49">
        <v>25.804980395000001</v>
      </c>
      <c r="C24" s="16">
        <v>24.566954259999999</v>
      </c>
      <c r="D24" s="17">
        <f t="shared" si="1"/>
        <v>1.2380261350000019</v>
      </c>
      <c r="E24" s="32" t="s">
        <v>30</v>
      </c>
      <c r="F24" s="33">
        <v>1.2380261350000019</v>
      </c>
      <c r="G24" s="34">
        <f t="shared" si="2"/>
        <v>0</v>
      </c>
      <c r="H24" s="20">
        <f t="shared" si="0"/>
        <v>1</v>
      </c>
    </row>
    <row r="25" spans="1:8" x14ac:dyDescent="0.3">
      <c r="A25" s="19" t="s">
        <v>31</v>
      </c>
      <c r="B25" s="49">
        <v>25.395807104999999</v>
      </c>
      <c r="C25" s="16">
        <v>29.144372929999999</v>
      </c>
      <c r="D25" s="17">
        <f t="shared" si="1"/>
        <v>-3.748565825</v>
      </c>
      <c r="E25" s="32" t="s">
        <v>32</v>
      </c>
      <c r="F25" s="33">
        <v>0.75015484999999771</v>
      </c>
      <c r="G25" s="34">
        <f t="shared" si="2"/>
        <v>0</v>
      </c>
      <c r="H25" s="20">
        <f t="shared" si="0"/>
        <v>1</v>
      </c>
    </row>
    <row r="26" spans="1:8" s="58" customFormat="1" x14ac:dyDescent="0.3">
      <c r="A26" s="51" t="s">
        <v>32</v>
      </c>
      <c r="B26" s="59">
        <v>31.175301269999999</v>
      </c>
      <c r="C26" s="60">
        <v>30.425146420000001</v>
      </c>
      <c r="D26" s="53">
        <f t="shared" si="1"/>
        <v>0.75015484999999771</v>
      </c>
      <c r="E26" s="54" t="s">
        <v>31</v>
      </c>
      <c r="F26" s="55">
        <v>-3.748565825</v>
      </c>
      <c r="G26" s="56">
        <f t="shared" si="2"/>
        <v>0</v>
      </c>
      <c r="H26" s="57">
        <f t="shared" si="0"/>
        <v>1</v>
      </c>
    </row>
    <row r="27" spans="1:8" x14ac:dyDescent="0.3">
      <c r="A27" s="19" t="s">
        <v>33</v>
      </c>
      <c r="B27" s="49">
        <v>29.43770885</v>
      </c>
      <c r="C27" s="16">
        <v>24.688429989999999</v>
      </c>
      <c r="D27" s="17">
        <f t="shared" si="1"/>
        <v>4.7492788600000004</v>
      </c>
      <c r="E27" s="32" t="s">
        <v>33</v>
      </c>
      <c r="F27" s="33">
        <v>4.7492788600000004</v>
      </c>
      <c r="G27" s="34">
        <f t="shared" si="2"/>
        <v>0</v>
      </c>
      <c r="H27" s="20">
        <f t="shared" si="0"/>
        <v>1</v>
      </c>
    </row>
    <row r="28" spans="1:8" x14ac:dyDescent="0.3">
      <c r="A28" s="19" t="s">
        <v>34</v>
      </c>
      <c r="B28" s="12">
        <v>28.474216899999998</v>
      </c>
      <c r="C28" s="12">
        <v>28.68758021</v>
      </c>
      <c r="D28" s="17">
        <f>B28-C28</f>
        <v>-0.21336331000000186</v>
      </c>
      <c r="E28" s="32" t="s">
        <v>35</v>
      </c>
      <c r="F28" s="33">
        <v>0.46950432999999947</v>
      </c>
      <c r="G28" s="34">
        <f t="shared" si="2"/>
        <v>0</v>
      </c>
      <c r="H28" s="20">
        <f t="shared" si="0"/>
        <v>1</v>
      </c>
    </row>
    <row r="29" spans="1:8" s="58" customFormat="1" x14ac:dyDescent="0.3">
      <c r="A29" s="51" t="s">
        <v>35</v>
      </c>
      <c r="B29" s="52">
        <v>30.831712320000001</v>
      </c>
      <c r="C29" s="52">
        <v>30.362207990000002</v>
      </c>
      <c r="D29" s="53">
        <f t="shared" si="1"/>
        <v>0.46950432999999947</v>
      </c>
      <c r="E29" s="54" t="s">
        <v>34</v>
      </c>
      <c r="F29" s="55">
        <v>-0.21336331000000186</v>
      </c>
      <c r="G29" s="56">
        <f t="shared" si="2"/>
        <v>0</v>
      </c>
      <c r="H29" s="57">
        <f t="shared" si="0"/>
        <v>1</v>
      </c>
    </row>
    <row r="30" spans="1:8" x14ac:dyDescent="0.3">
      <c r="A30" s="19" t="s">
        <v>36</v>
      </c>
      <c r="B30" s="12">
        <v>28.738318060000001</v>
      </c>
      <c r="C30" s="12">
        <v>26.906807990000001</v>
      </c>
      <c r="D30" s="17">
        <f t="shared" si="1"/>
        <v>1.8315100700000002</v>
      </c>
      <c r="E30" s="32" t="s">
        <v>36</v>
      </c>
      <c r="F30" s="33">
        <v>1.8315100700000002</v>
      </c>
      <c r="G30" s="34">
        <f t="shared" si="2"/>
        <v>0</v>
      </c>
      <c r="H30" s="20">
        <f t="shared" si="0"/>
        <v>1</v>
      </c>
    </row>
    <row r="31" spans="1:8" x14ac:dyDescent="0.3">
      <c r="A31" s="19" t="s">
        <v>37</v>
      </c>
      <c r="B31" s="12">
        <v>28.710691140000002</v>
      </c>
      <c r="C31" s="12">
        <v>27.74928924</v>
      </c>
      <c r="D31" s="17">
        <f t="shared" si="1"/>
        <v>0.96140190000000203</v>
      </c>
      <c r="E31" s="32" t="s">
        <v>38</v>
      </c>
      <c r="F31" s="33">
        <v>1.4828082449999975</v>
      </c>
      <c r="G31" s="34">
        <f t="shared" si="2"/>
        <v>0</v>
      </c>
      <c r="H31" s="20">
        <f t="shared" si="0"/>
        <v>1</v>
      </c>
    </row>
    <row r="32" spans="1:8" ht="16.2" thickBot="1" x14ac:dyDescent="0.35">
      <c r="A32" s="29" t="s">
        <v>38</v>
      </c>
      <c r="B32" s="13">
        <v>29.815722314999999</v>
      </c>
      <c r="C32" s="13">
        <v>28.332914070000001</v>
      </c>
      <c r="D32" s="21">
        <f t="shared" si="1"/>
        <v>1.4828082449999975</v>
      </c>
      <c r="E32" s="22" t="s">
        <v>37</v>
      </c>
      <c r="F32" s="23">
        <v>0.96140190000000203</v>
      </c>
      <c r="G32" s="24">
        <f t="shared" si="2"/>
        <v>0</v>
      </c>
      <c r="H32" s="31">
        <f t="shared" si="0"/>
        <v>1</v>
      </c>
    </row>
    <row r="33" spans="1:8" x14ac:dyDescent="0.3">
      <c r="A33" s="25"/>
      <c r="B33" s="14"/>
      <c r="C33" s="14"/>
      <c r="D33" s="26"/>
      <c r="E33" s="15"/>
      <c r="F33" s="18"/>
      <c r="G33" s="17"/>
      <c r="H33" s="17"/>
    </row>
    <row r="34" spans="1:8" x14ac:dyDescent="0.3">
      <c r="A34" s="15"/>
      <c r="B34" s="16"/>
      <c r="C34" s="16"/>
      <c r="D34" s="17"/>
      <c r="E34" s="15"/>
      <c r="F34" s="18"/>
      <c r="G34" s="17"/>
      <c r="H34" s="17"/>
    </row>
    <row r="35" spans="1:8" ht="16.2" thickBot="1" x14ac:dyDescent="0.35">
      <c r="A35" s="15"/>
      <c r="B35" s="16"/>
      <c r="C35" s="16"/>
      <c r="D35" s="17"/>
      <c r="E35" s="15"/>
      <c r="F35" s="18"/>
      <c r="G35" s="17"/>
      <c r="H35" s="17"/>
    </row>
    <row r="36" spans="1:8" x14ac:dyDescent="0.3">
      <c r="A36" s="6" t="s">
        <v>11</v>
      </c>
      <c r="B36" s="7" t="s">
        <v>3</v>
      </c>
      <c r="C36" s="7" t="s">
        <v>4</v>
      </c>
      <c r="D36" s="7" t="s">
        <v>5</v>
      </c>
      <c r="E36" s="8"/>
      <c r="F36" s="10"/>
      <c r="G36" s="9"/>
      <c r="H36" s="11"/>
    </row>
    <row r="37" spans="1:8" ht="16.2" thickBot="1" x14ac:dyDescent="0.35">
      <c r="A37" s="38" t="s">
        <v>0</v>
      </c>
      <c r="B37" s="39" t="s">
        <v>6</v>
      </c>
      <c r="C37" s="39" t="s">
        <v>6</v>
      </c>
      <c r="D37" s="39" t="s">
        <v>7</v>
      </c>
      <c r="E37" s="27" t="s">
        <v>1</v>
      </c>
      <c r="F37" s="28" t="s">
        <v>8</v>
      </c>
      <c r="G37" s="40" t="s">
        <v>9</v>
      </c>
      <c r="H37" s="41" t="s">
        <v>10</v>
      </c>
    </row>
    <row r="38" spans="1:8" x14ac:dyDescent="0.3">
      <c r="A38" s="42" t="s">
        <v>39</v>
      </c>
      <c r="B38" s="43">
        <v>31.792749799999999</v>
      </c>
      <c r="C38" s="43">
        <v>30.311870435000003</v>
      </c>
      <c r="D38" s="44">
        <f>B38-C38</f>
        <v>1.4808793649999963</v>
      </c>
      <c r="E38" s="45" t="s">
        <v>39</v>
      </c>
      <c r="F38" s="46">
        <v>1.4808793649999963</v>
      </c>
      <c r="G38" s="47">
        <f>F38-F6</f>
        <v>-0.22102181500000384</v>
      </c>
      <c r="H38" s="48">
        <f t="shared" ref="H38:H64" si="3">(2^(-G38))</f>
        <v>1.1655588224229627</v>
      </c>
    </row>
    <row r="39" spans="1:8" x14ac:dyDescent="0.3">
      <c r="A39" s="19" t="s">
        <v>40</v>
      </c>
      <c r="B39" s="12">
        <v>28.957938049999999</v>
      </c>
      <c r="C39" s="12">
        <v>28.32844944</v>
      </c>
      <c r="D39" s="17">
        <f t="shared" ref="D39:D64" si="4">B39-C39</f>
        <v>0.62948860999999923</v>
      </c>
      <c r="E39" s="32" t="s">
        <v>41</v>
      </c>
      <c r="F39" s="33">
        <v>0.862438700000002</v>
      </c>
      <c r="G39" s="34">
        <f>F39-F7</f>
        <v>-4.9175149999999945E-2</v>
      </c>
      <c r="H39" s="20">
        <f t="shared" si="3"/>
        <v>1.0346731881118079</v>
      </c>
    </row>
    <row r="40" spans="1:8" s="58" customFormat="1" x14ac:dyDescent="0.3">
      <c r="A40" s="51" t="s">
        <v>41</v>
      </c>
      <c r="B40" s="52">
        <v>29.415135190000001</v>
      </c>
      <c r="C40" s="52">
        <v>28.552696489999999</v>
      </c>
      <c r="D40" s="53">
        <f t="shared" si="4"/>
        <v>0.862438700000002</v>
      </c>
      <c r="E40" s="54" t="s">
        <v>40</v>
      </c>
      <c r="F40" s="55">
        <v>0.62948860999999923</v>
      </c>
      <c r="G40" s="56">
        <f>F40-F8</f>
        <v>-3.2334219999999192E-2</v>
      </c>
      <c r="H40" s="57">
        <f t="shared" si="3"/>
        <v>1.0226654175738792</v>
      </c>
    </row>
    <row r="41" spans="1:8" x14ac:dyDescent="0.3">
      <c r="A41" s="19" t="s">
        <v>42</v>
      </c>
      <c r="B41" s="12">
        <v>30.00505398</v>
      </c>
      <c r="C41" s="12">
        <v>29.881382854999998</v>
      </c>
      <c r="D41" s="17">
        <f t="shared" si="4"/>
        <v>0.12367112500000133</v>
      </c>
      <c r="E41" s="32" t="s">
        <v>44</v>
      </c>
      <c r="F41" s="33">
        <v>0.53133362000000162</v>
      </c>
      <c r="G41" s="34">
        <f>F41-F9</f>
        <v>-1.6906826799999983</v>
      </c>
      <c r="H41" s="20">
        <f t="shared" si="3"/>
        <v>3.2280942023419361</v>
      </c>
    </row>
    <row r="42" spans="1:8" x14ac:dyDescent="0.3">
      <c r="A42" s="19" t="s">
        <v>43</v>
      </c>
      <c r="B42" s="12">
        <v>31.3138407</v>
      </c>
      <c r="C42" s="12">
        <v>31.002959730000001</v>
      </c>
      <c r="D42" s="17">
        <f t="shared" si="4"/>
        <v>0.31088096999999948</v>
      </c>
      <c r="E42" s="32" t="s">
        <v>43</v>
      </c>
      <c r="F42" s="33">
        <v>0.31088096999999948</v>
      </c>
      <c r="G42" s="34">
        <f>F42-F10</f>
        <v>-1.6586074499999981</v>
      </c>
      <c r="H42" s="20">
        <f t="shared" si="3"/>
        <v>3.1571163945711369</v>
      </c>
    </row>
    <row r="43" spans="1:8" s="58" customFormat="1" x14ac:dyDescent="0.3">
      <c r="A43" s="51" t="s">
        <v>44</v>
      </c>
      <c r="B43" s="52">
        <v>27.945458410000001</v>
      </c>
      <c r="C43" s="52">
        <v>27.414124789999999</v>
      </c>
      <c r="D43" s="53">
        <f t="shared" si="4"/>
        <v>0.53133362000000162</v>
      </c>
      <c r="E43" s="54" t="s">
        <v>42</v>
      </c>
      <c r="F43" s="55">
        <v>0.12367112500000133</v>
      </c>
      <c r="G43" s="56">
        <f>F43-F11</f>
        <v>-0.16756172499999877</v>
      </c>
      <c r="H43" s="57">
        <f t="shared" si="3"/>
        <v>1.1231586478665139</v>
      </c>
    </row>
    <row r="44" spans="1:8" x14ac:dyDescent="0.3">
      <c r="A44" s="19" t="s">
        <v>45</v>
      </c>
      <c r="B44" s="49">
        <v>33.643063904999998</v>
      </c>
      <c r="C44" s="49">
        <v>32.65312625</v>
      </c>
      <c r="D44" s="17">
        <f t="shared" si="4"/>
        <v>0.98993765499999853</v>
      </c>
      <c r="E44" s="32" t="s">
        <v>46</v>
      </c>
      <c r="F44" s="33">
        <v>1.6262907599999963</v>
      </c>
      <c r="G44" s="34">
        <f>F44-F12</f>
        <v>-0.44129909000000467</v>
      </c>
      <c r="H44" s="20">
        <f t="shared" si="3"/>
        <v>1.3578264463070562</v>
      </c>
    </row>
    <row r="45" spans="1:8" x14ac:dyDescent="0.3">
      <c r="A45" s="19" t="s">
        <v>46</v>
      </c>
      <c r="B45" s="49">
        <v>32.816832069999997</v>
      </c>
      <c r="C45" s="49">
        <v>31.19054131</v>
      </c>
      <c r="D45" s="17">
        <f t="shared" si="4"/>
        <v>1.6262907599999963</v>
      </c>
      <c r="E45" s="32" t="s">
        <v>47</v>
      </c>
      <c r="F45" s="33">
        <v>1.2427133799999979</v>
      </c>
      <c r="G45" s="34">
        <f>F45-F13</f>
        <v>7.8176530000000355E-2</v>
      </c>
      <c r="H45" s="20">
        <f t="shared" si="3"/>
        <v>0.94725415628443477</v>
      </c>
    </row>
    <row r="46" spans="1:8" s="58" customFormat="1" x14ac:dyDescent="0.3">
      <c r="A46" s="51" t="s">
        <v>47</v>
      </c>
      <c r="B46" s="59">
        <v>32.532323359999999</v>
      </c>
      <c r="C46" s="59">
        <v>31.289609980000002</v>
      </c>
      <c r="D46" s="53">
        <f t="shared" si="4"/>
        <v>1.2427133799999979</v>
      </c>
      <c r="E46" s="54" t="s">
        <v>45</v>
      </c>
      <c r="F46" s="55">
        <v>0.98993765499999853</v>
      </c>
      <c r="G46" s="56">
        <f>F46-F14</f>
        <v>-7.9045465000003645E-2</v>
      </c>
      <c r="H46" s="57">
        <f t="shared" si="3"/>
        <v>1.0563189135945699</v>
      </c>
    </row>
    <row r="47" spans="1:8" x14ac:dyDescent="0.3">
      <c r="A47" s="19" t="s">
        <v>48</v>
      </c>
      <c r="B47" s="49">
        <v>26.928285209999999</v>
      </c>
      <c r="C47" s="49">
        <v>25.507464554999999</v>
      </c>
      <c r="D47" s="17">
        <f t="shared" si="4"/>
        <v>1.420820655</v>
      </c>
      <c r="E47" s="32" t="s">
        <v>50</v>
      </c>
      <c r="F47" s="33">
        <v>2.1827082100000013</v>
      </c>
      <c r="G47" s="34">
        <f>F47-F15</f>
        <v>2.4929198850000027</v>
      </c>
      <c r="H47" s="20">
        <f t="shared" si="3"/>
        <v>0.17764637009074602</v>
      </c>
    </row>
    <row r="48" spans="1:8" x14ac:dyDescent="0.3">
      <c r="A48" s="19" t="s">
        <v>49</v>
      </c>
      <c r="B48" s="49">
        <v>26.823101579999999</v>
      </c>
      <c r="C48" s="49">
        <v>25.125667110000002</v>
      </c>
      <c r="D48" s="17">
        <f t="shared" si="4"/>
        <v>1.6974344699999975</v>
      </c>
      <c r="E48" s="32" t="s">
        <v>49</v>
      </c>
      <c r="F48" s="33">
        <v>1.6974344699999975</v>
      </c>
      <c r="G48" s="34">
        <f>F48-F16</f>
        <v>2.7094674199999957</v>
      </c>
      <c r="H48" s="20">
        <f t="shared" si="3"/>
        <v>0.15288646330038178</v>
      </c>
    </row>
    <row r="49" spans="1:8" s="58" customFormat="1" x14ac:dyDescent="0.3">
      <c r="A49" s="51" t="s">
        <v>50</v>
      </c>
      <c r="B49" s="59">
        <v>32.936250540000003</v>
      </c>
      <c r="C49" s="59">
        <v>30.753542330000002</v>
      </c>
      <c r="D49" s="53">
        <f t="shared" si="4"/>
        <v>2.1827082100000013</v>
      </c>
      <c r="E49" s="54" t="s">
        <v>48</v>
      </c>
      <c r="F49" s="55">
        <v>1.420820655</v>
      </c>
      <c r="G49" s="56">
        <f t="shared" ref="G49:G58" si="5">F49-F17</f>
        <v>2.4328536049999983</v>
      </c>
      <c r="H49" s="57">
        <f t="shared" si="3"/>
        <v>0.18519876652566142</v>
      </c>
    </row>
    <row r="50" spans="1:8" x14ac:dyDescent="0.3">
      <c r="A50" s="19" t="s">
        <v>51</v>
      </c>
      <c r="B50" s="49">
        <v>27.923258229999998</v>
      </c>
      <c r="C50" s="49">
        <v>26.788106075000002</v>
      </c>
      <c r="D50" s="17">
        <f t="shared" si="4"/>
        <v>1.1351521549999966</v>
      </c>
      <c r="E50" s="32" t="s">
        <v>52</v>
      </c>
      <c r="F50" s="33">
        <v>1.2088718299999996</v>
      </c>
      <c r="G50" s="34">
        <f t="shared" si="5"/>
        <v>-1.429870815000001</v>
      </c>
      <c r="H50" s="20">
        <f t="shared" si="3"/>
        <v>2.6942258905777932</v>
      </c>
    </row>
    <row r="51" spans="1:8" x14ac:dyDescent="0.3">
      <c r="A51" s="19" t="s">
        <v>52</v>
      </c>
      <c r="B51" s="49">
        <v>29.028885240000001</v>
      </c>
      <c r="C51" s="49">
        <v>27.820013410000001</v>
      </c>
      <c r="D51" s="17">
        <f t="shared" si="4"/>
        <v>1.2088718299999996</v>
      </c>
      <c r="E51" s="32" t="s">
        <v>51</v>
      </c>
      <c r="F51" s="33">
        <v>1.1351521549999966</v>
      </c>
      <c r="G51" s="34">
        <f t="shared" si="5"/>
        <v>0.3279079999999972</v>
      </c>
      <c r="H51" s="20">
        <f t="shared" si="3"/>
        <v>0.79669089927838166</v>
      </c>
    </row>
    <row r="52" spans="1:8" s="58" customFormat="1" x14ac:dyDescent="0.3">
      <c r="A52" s="51" t="s">
        <v>53</v>
      </c>
      <c r="B52" s="59">
        <v>31.662730400000001</v>
      </c>
      <c r="C52" s="59">
        <v>31.068124279999999</v>
      </c>
      <c r="D52" s="53">
        <f t="shared" si="4"/>
        <v>0.59460612000000168</v>
      </c>
      <c r="E52" s="54" t="s">
        <v>53</v>
      </c>
      <c r="F52" s="55">
        <v>0.59460612000000168</v>
      </c>
      <c r="G52" s="56">
        <f t="shared" si="5"/>
        <v>0.47920703500000172</v>
      </c>
      <c r="H52" s="57">
        <f t="shared" si="3"/>
        <v>0.71737181295305008</v>
      </c>
    </row>
    <row r="53" spans="1:8" x14ac:dyDescent="0.3">
      <c r="A53" s="19" t="s">
        <v>54</v>
      </c>
      <c r="B53" s="49">
        <v>28.236267250000001</v>
      </c>
      <c r="C53" s="49">
        <v>26.2769905</v>
      </c>
      <c r="D53" s="17">
        <f t="shared" si="4"/>
        <v>1.9592767500000008</v>
      </c>
      <c r="E53" s="32" t="s">
        <v>54</v>
      </c>
      <c r="F53" s="33">
        <v>1.9592767500000008</v>
      </c>
      <c r="G53" s="34">
        <f t="shared" si="5"/>
        <v>2.5103770000001191E-2</v>
      </c>
      <c r="H53" s="20">
        <f t="shared" si="3"/>
        <v>0.9827499088826096</v>
      </c>
    </row>
    <row r="54" spans="1:8" x14ac:dyDescent="0.3">
      <c r="A54" s="19" t="s">
        <v>55</v>
      </c>
      <c r="B54" s="49">
        <v>26.229877649999999</v>
      </c>
      <c r="C54" s="49">
        <v>24.767981800000001</v>
      </c>
      <c r="D54" s="17">
        <f t="shared" si="4"/>
        <v>1.4618958499999977</v>
      </c>
      <c r="E54" s="32" t="s">
        <v>55</v>
      </c>
      <c r="F54" s="33">
        <v>1.4618958499999977</v>
      </c>
      <c r="G54" s="34">
        <f t="shared" si="5"/>
        <v>-0.11454241000000209</v>
      </c>
      <c r="H54" s="20">
        <f t="shared" si="3"/>
        <v>1.0826316049820788</v>
      </c>
    </row>
    <row r="55" spans="1:8" s="58" customFormat="1" x14ac:dyDescent="0.3">
      <c r="A55" s="51" t="s">
        <v>56</v>
      </c>
      <c r="B55" s="59">
        <v>34.48638227</v>
      </c>
      <c r="C55" s="59">
        <v>33.068048445000002</v>
      </c>
      <c r="D55" s="53">
        <f t="shared" si="4"/>
        <v>1.4183338249999977</v>
      </c>
      <c r="E55" s="54" t="s">
        <v>56</v>
      </c>
      <c r="F55" s="55">
        <v>1.4183338249999977</v>
      </c>
      <c r="G55" s="56">
        <f t="shared" si="5"/>
        <v>0.64808708499999668</v>
      </c>
      <c r="H55" s="57">
        <f t="shared" si="3"/>
        <v>0.63812586423761442</v>
      </c>
    </row>
    <row r="56" spans="1:8" x14ac:dyDescent="0.3">
      <c r="A56" s="19" t="s">
        <v>57</v>
      </c>
      <c r="B56" s="49">
        <v>25.538347885</v>
      </c>
      <c r="C56" s="49">
        <v>26.653787854999997</v>
      </c>
      <c r="D56" s="17">
        <f t="shared" si="4"/>
        <v>-1.1154399699999971</v>
      </c>
      <c r="E56" s="32" t="s">
        <v>58</v>
      </c>
      <c r="F56" s="33">
        <v>0.27091938499999912</v>
      </c>
      <c r="G56" s="34">
        <f t="shared" si="5"/>
        <v>-0.96710675000000279</v>
      </c>
      <c r="H56" s="20">
        <f t="shared" si="3"/>
        <v>1.9549161784851685</v>
      </c>
    </row>
    <row r="57" spans="1:8" x14ac:dyDescent="0.3">
      <c r="A57" s="19" t="s">
        <v>58</v>
      </c>
      <c r="B57" s="49">
        <v>27.006314249999999</v>
      </c>
      <c r="C57" s="49">
        <v>26.735394865</v>
      </c>
      <c r="D57" s="17">
        <f t="shared" si="4"/>
        <v>0.27091938499999912</v>
      </c>
      <c r="E57" s="32" t="s">
        <v>59</v>
      </c>
      <c r="F57" s="33">
        <v>-4.9629715000001795E-2</v>
      </c>
      <c r="G57" s="34">
        <f t="shared" si="5"/>
        <v>-0.7997845649999995</v>
      </c>
      <c r="H57" s="20">
        <f t="shared" si="3"/>
        <v>1.7408411505710419</v>
      </c>
    </row>
    <row r="58" spans="1:8" s="58" customFormat="1" x14ac:dyDescent="0.3">
      <c r="A58" s="51" t="s">
        <v>59</v>
      </c>
      <c r="B58" s="59">
        <v>28.421490949999999</v>
      </c>
      <c r="C58" s="59">
        <v>28.471120665000001</v>
      </c>
      <c r="D58" s="53">
        <f t="shared" si="4"/>
        <v>-4.9629715000001795E-2</v>
      </c>
      <c r="E58" s="54" t="s">
        <v>57</v>
      </c>
      <c r="F58" s="55">
        <v>-1.1154399699999971</v>
      </c>
      <c r="G58" s="56">
        <f t="shared" si="5"/>
        <v>2.633125855000003</v>
      </c>
      <c r="H58" s="57">
        <f t="shared" si="3"/>
        <v>0.16119446875174503</v>
      </c>
    </row>
    <row r="59" spans="1:8" x14ac:dyDescent="0.3">
      <c r="A59" s="19" t="s">
        <v>60</v>
      </c>
      <c r="B59" s="49">
        <v>28.42517466</v>
      </c>
      <c r="C59" s="49">
        <v>27.24447018</v>
      </c>
      <c r="D59" s="17">
        <f t="shared" si="4"/>
        <v>1.1807044799999993</v>
      </c>
      <c r="E59" s="32" t="s">
        <v>64</v>
      </c>
      <c r="F59" s="33">
        <v>1.2484923899999991</v>
      </c>
      <c r="G59" s="34">
        <f t="shared" ref="G44:G61" si="6">F59-F42</f>
        <v>0.93761141999999964</v>
      </c>
      <c r="H59" s="20">
        <f t="shared" si="3"/>
        <v>0.52209656789912606</v>
      </c>
    </row>
    <row r="60" spans="1:8" x14ac:dyDescent="0.3">
      <c r="A60" s="19" t="s">
        <v>61</v>
      </c>
      <c r="B60" s="49">
        <v>30.38798306</v>
      </c>
      <c r="C60" s="49">
        <v>29.766383350000002</v>
      </c>
      <c r="D60" s="17">
        <f t="shared" si="4"/>
        <v>0.62159970999999814</v>
      </c>
      <c r="E60" s="32" t="s">
        <v>60</v>
      </c>
      <c r="F60" s="33">
        <v>1.1807044799999993</v>
      </c>
      <c r="G60" s="34">
        <f t="shared" si="6"/>
        <v>1.057033354999998</v>
      </c>
      <c r="H60" s="20">
        <f t="shared" si="3"/>
        <v>0.48061935218293228</v>
      </c>
    </row>
    <row r="61" spans="1:8" s="58" customFormat="1" x14ac:dyDescent="0.3">
      <c r="A61" s="51" t="s">
        <v>64</v>
      </c>
      <c r="B61" s="59">
        <v>31.738234649999999</v>
      </c>
      <c r="C61" s="59">
        <v>30.48974226</v>
      </c>
      <c r="D61" s="53">
        <f t="shared" si="4"/>
        <v>1.2484923899999991</v>
      </c>
      <c r="E61" s="54" t="s">
        <v>61</v>
      </c>
      <c r="F61" s="55">
        <v>0.62159970999999814</v>
      </c>
      <c r="G61" s="56">
        <f t="shared" si="6"/>
        <v>-1.0046910499999981</v>
      </c>
      <c r="H61" s="57">
        <f t="shared" si="3"/>
        <v>2.0065137604565919</v>
      </c>
    </row>
    <row r="62" spans="1:8" x14ac:dyDescent="0.3">
      <c r="A62" s="19" t="s">
        <v>62</v>
      </c>
      <c r="B62" s="12">
        <v>26.803650380000001</v>
      </c>
      <c r="C62" s="12">
        <v>25.386087775</v>
      </c>
      <c r="D62" s="17">
        <f t="shared" si="4"/>
        <v>1.4175626050000005</v>
      </c>
      <c r="E62" s="32" t="s">
        <v>62</v>
      </c>
      <c r="F62" s="33">
        <v>1.4175626050000005</v>
      </c>
      <c r="G62" s="34">
        <f>F62-F30</f>
        <v>-0.41394746499999968</v>
      </c>
      <c r="H62" s="20">
        <f t="shared" si="3"/>
        <v>1.3323263082294636</v>
      </c>
    </row>
    <row r="63" spans="1:8" x14ac:dyDescent="0.3">
      <c r="A63" s="19" t="s">
        <v>63</v>
      </c>
      <c r="B63" s="12">
        <v>26.82758638</v>
      </c>
      <c r="C63" s="12">
        <v>25.709133680000001</v>
      </c>
      <c r="D63" s="17">
        <f t="shared" si="4"/>
        <v>1.1184526999999989</v>
      </c>
      <c r="E63" s="32" t="s">
        <v>65</v>
      </c>
      <c r="F63" s="33">
        <v>1.4242659800000013</v>
      </c>
      <c r="G63" s="34">
        <f>F63-F31</f>
        <v>-5.8542264999996263E-2</v>
      </c>
      <c r="H63" s="20">
        <f t="shared" si="3"/>
        <v>1.0414129594514352</v>
      </c>
    </row>
    <row r="64" spans="1:8" ht="16.2" thickBot="1" x14ac:dyDescent="0.35">
      <c r="A64" s="29" t="s">
        <v>65</v>
      </c>
      <c r="B64" s="13">
        <v>31.974426560000001</v>
      </c>
      <c r="C64" s="30">
        <v>30.55016058</v>
      </c>
      <c r="D64" s="21">
        <f t="shared" si="4"/>
        <v>1.4242659800000013</v>
      </c>
      <c r="E64" s="22" t="s">
        <v>63</v>
      </c>
      <c r="F64" s="23">
        <v>1.1184526999999989</v>
      </c>
      <c r="G64" s="24">
        <f>F64-F32</f>
        <v>0.15705079999999683</v>
      </c>
      <c r="H64" s="31">
        <f t="shared" si="3"/>
        <v>0.8968565791026688</v>
      </c>
    </row>
    <row r="65" spans="1:11" x14ac:dyDescent="0.3">
      <c r="A65" s="15"/>
      <c r="B65" s="16"/>
      <c r="C65" s="15"/>
      <c r="D65" s="17"/>
      <c r="E65" s="15"/>
      <c r="F65" s="18"/>
      <c r="G65" s="17"/>
      <c r="H65" s="17"/>
    </row>
    <row r="66" spans="1:11" x14ac:dyDescent="0.3">
      <c r="A66" s="19"/>
      <c r="B66" s="12"/>
      <c r="C66" s="12"/>
      <c r="D66" s="17"/>
      <c r="E66" s="12"/>
      <c r="F66" s="12"/>
      <c r="G66" s="12"/>
      <c r="H66" s="12"/>
    </row>
    <row r="70" spans="1:11" x14ac:dyDescent="0.3">
      <c r="I70" s="35"/>
      <c r="J70" s="35"/>
      <c r="K70" s="36"/>
    </row>
    <row r="71" spans="1:11" x14ac:dyDescent="0.3">
      <c r="J71" s="35"/>
      <c r="K71" s="36"/>
    </row>
    <row r="72" spans="1:11" x14ac:dyDescent="0.3">
      <c r="J72" s="35"/>
      <c r="K72" s="36"/>
    </row>
    <row r="73" spans="1:11" x14ac:dyDescent="0.3">
      <c r="J73" s="35"/>
      <c r="K73" s="36"/>
    </row>
    <row r="74" spans="1:11" x14ac:dyDescent="0.3">
      <c r="J74" s="35"/>
      <c r="K74" s="36"/>
    </row>
    <row r="87" spans="10:11" x14ac:dyDescent="0.3">
      <c r="J87" s="35" t="e">
        <f>#REF!-4.26</f>
        <v>#REF!</v>
      </c>
      <c r="K87" s="37" t="e">
        <f>2^(-J87)</f>
        <v>#REF!</v>
      </c>
    </row>
    <row r="88" spans="10:11" x14ac:dyDescent="0.3">
      <c r="J88" s="35" t="e">
        <f>#REF!-4.26</f>
        <v>#REF!</v>
      </c>
      <c r="K88" s="37" t="e">
        <f t="shared" ref="K88:K89" si="7">2^(-J88)</f>
        <v>#REF!</v>
      </c>
    </row>
    <row r="89" spans="10:11" x14ac:dyDescent="0.3">
      <c r="J89" s="35" t="e">
        <f>#REF!-4.26</f>
        <v>#REF!</v>
      </c>
      <c r="K89" s="37" t="e">
        <f t="shared" si="7"/>
        <v>#REF!</v>
      </c>
    </row>
    <row r="90" spans="10:11" x14ac:dyDescent="0.3">
      <c r="J90" s="35"/>
      <c r="K90" s="37"/>
    </row>
    <row r="91" spans="10:11" x14ac:dyDescent="0.3">
      <c r="J91" s="35"/>
      <c r="K91" s="37"/>
    </row>
    <row r="103" spans="10:11" x14ac:dyDescent="0.3">
      <c r="J103" s="35" t="e">
        <f>#REF!-4.26</f>
        <v>#REF!</v>
      </c>
      <c r="K103" s="36" t="e">
        <f>2^(-J103)</f>
        <v>#REF!</v>
      </c>
    </row>
    <row r="104" spans="10:11" x14ac:dyDescent="0.3">
      <c r="J104" s="35" t="e">
        <f>#REF!-4.26</f>
        <v>#REF!</v>
      </c>
      <c r="K104" s="36" t="e">
        <f t="shared" ref="K104:K108" si="8">2^(-J104)</f>
        <v>#REF!</v>
      </c>
    </row>
    <row r="105" spans="10:11" x14ac:dyDescent="0.3">
      <c r="J105" s="35" t="e">
        <f>#REF!-4.26</f>
        <v>#REF!</v>
      </c>
      <c r="K105" s="36" t="e">
        <f t="shared" si="8"/>
        <v>#REF!</v>
      </c>
    </row>
    <row r="106" spans="10:11" x14ac:dyDescent="0.3">
      <c r="J106" s="35"/>
      <c r="K106" s="36"/>
    </row>
    <row r="107" spans="10:11" x14ac:dyDescent="0.3">
      <c r="J107" s="35"/>
      <c r="K107" s="36"/>
    </row>
    <row r="108" spans="10:11" x14ac:dyDescent="0.3">
      <c r="J108" s="35" t="e">
        <f>#REF!-4.26</f>
        <v>#REF!</v>
      </c>
      <c r="K108" s="36" t="e">
        <f t="shared" si="8"/>
        <v>#REF!</v>
      </c>
    </row>
    <row r="120" spans="10:11" x14ac:dyDescent="0.3">
      <c r="J120" s="35" t="e">
        <f>#REF!-4.26</f>
        <v>#REF!</v>
      </c>
      <c r="K120" s="37" t="e">
        <f>2^(-J120)</f>
        <v>#REF!</v>
      </c>
    </row>
    <row r="121" spans="10:11" x14ac:dyDescent="0.3">
      <c r="J121" s="35" t="e">
        <f>#REF!-4.26</f>
        <v>#REF!</v>
      </c>
      <c r="K121" s="37" t="e">
        <f t="shared" ref="K121:K122" si="9">2^(-J121)</f>
        <v>#REF!</v>
      </c>
    </row>
    <row r="122" spans="10:11" x14ac:dyDescent="0.3">
      <c r="J122" s="35" t="e">
        <f>#REF!-4.26</f>
        <v>#REF!</v>
      </c>
      <c r="K122" s="37" t="e">
        <f t="shared" si="9"/>
        <v>#REF!</v>
      </c>
    </row>
    <row r="123" spans="10:11" x14ac:dyDescent="0.3">
      <c r="J123" s="35"/>
      <c r="K123" s="37"/>
    </row>
    <row r="124" spans="10:11" x14ac:dyDescent="0.3">
      <c r="J124" s="35"/>
      <c r="K124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CDC0-D199-074F-8F1D-7028CB095456}">
  <dimension ref="A1:G66"/>
  <sheetViews>
    <sheetView workbookViewId="0">
      <selection activeCell="G38" sqref="G38:G64"/>
    </sheetView>
  </sheetViews>
  <sheetFormatPr defaultColWidth="11" defaultRowHeight="15.6" x14ac:dyDescent="0.3"/>
  <cols>
    <col min="1" max="1" width="15.296875" customWidth="1"/>
    <col min="2" max="2" width="12.3984375" customWidth="1"/>
    <col min="4" max="4" width="19.09765625" bestFit="1" customWidth="1"/>
    <col min="5" max="5" width="26.19921875" customWidth="1"/>
    <col min="6" max="6" width="38.59765625" bestFit="1" customWidth="1"/>
    <col min="7" max="7" width="31.09765625" bestFit="1" customWidth="1"/>
    <col min="10" max="10" width="17.59765625" bestFit="1" customWidth="1"/>
  </cols>
  <sheetData>
    <row r="1" spans="1:7" x14ac:dyDescent="0.3">
      <c r="A1" s="15"/>
      <c r="B1" s="16"/>
      <c r="C1" s="16"/>
      <c r="D1" s="17"/>
      <c r="E1" s="18"/>
      <c r="F1" s="17"/>
      <c r="G1" s="17"/>
    </row>
    <row r="2" spans="1:7" ht="17.399999999999999" x14ac:dyDescent="0.3">
      <c r="A2" s="1"/>
      <c r="B2" s="1"/>
      <c r="C2" s="16"/>
      <c r="D2" s="17"/>
      <c r="E2" s="18"/>
      <c r="F2" s="17"/>
      <c r="G2" s="17"/>
    </row>
    <row r="3" spans="1:7" ht="16.2" thickBot="1" x14ac:dyDescent="0.35">
      <c r="A3" s="15"/>
      <c r="B3" s="2"/>
      <c r="C3" s="2"/>
      <c r="D3" s="3"/>
      <c r="E3" s="5"/>
      <c r="F3" s="3"/>
      <c r="G3" s="3"/>
    </row>
    <row r="4" spans="1:7" x14ac:dyDescent="0.3">
      <c r="A4" s="6" t="s">
        <v>2</v>
      </c>
      <c r="B4" s="7" t="s">
        <v>3</v>
      </c>
      <c r="C4" s="7" t="s">
        <v>4</v>
      </c>
      <c r="D4" s="7" t="s">
        <v>5</v>
      </c>
      <c r="E4" s="10"/>
      <c r="F4" s="9"/>
      <c r="G4" s="11"/>
    </row>
    <row r="5" spans="1:7" ht="16.2" thickBot="1" x14ac:dyDescent="0.35">
      <c r="A5" s="38" t="s">
        <v>0</v>
      </c>
      <c r="B5" s="39" t="s">
        <v>6</v>
      </c>
      <c r="C5" s="39" t="s">
        <v>6</v>
      </c>
      <c r="D5" s="39" t="s">
        <v>7</v>
      </c>
      <c r="E5" s="28" t="s">
        <v>66</v>
      </c>
      <c r="F5" s="40" t="s">
        <v>67</v>
      </c>
      <c r="G5" s="41" t="s">
        <v>68</v>
      </c>
    </row>
    <row r="6" spans="1:7" x14ac:dyDescent="0.3">
      <c r="A6" s="42" t="s">
        <v>12</v>
      </c>
      <c r="B6" s="43">
        <v>30.275990569999998</v>
      </c>
      <c r="C6" s="43">
        <v>29.614167739999999</v>
      </c>
      <c r="D6" s="44">
        <f>B6-C6</f>
        <v>0.66182282999999842</v>
      </c>
      <c r="E6" s="46">
        <f>AVERAGE(D6:D8)</f>
        <v>1.0917792866666669</v>
      </c>
      <c r="F6" s="47">
        <f>D6-E6</f>
        <v>-0.42995645666666849</v>
      </c>
      <c r="G6" s="48">
        <f t="shared" ref="G6:G32" si="0">(2^(-F6))</f>
        <v>1.3471929153580418</v>
      </c>
    </row>
    <row r="7" spans="1:7" x14ac:dyDescent="0.3">
      <c r="A7" s="19" t="s">
        <v>13</v>
      </c>
      <c r="B7" s="12">
        <v>34.698325150000002</v>
      </c>
      <c r="C7" s="12">
        <v>32.996423970000002</v>
      </c>
      <c r="D7" s="17">
        <f t="shared" ref="D7:D32" si="1">B7-C7</f>
        <v>1.7019011800000001</v>
      </c>
      <c r="E7" s="33">
        <v>1.0917792866666669</v>
      </c>
      <c r="F7" s="34">
        <f t="shared" ref="F7:F32" si="2">D7-E7</f>
        <v>0.61012189333333322</v>
      </c>
      <c r="G7" s="20">
        <f t="shared" si="0"/>
        <v>0.65514134668503199</v>
      </c>
    </row>
    <row r="8" spans="1:7" s="58" customFormat="1" x14ac:dyDescent="0.3">
      <c r="A8" s="51" t="s">
        <v>14</v>
      </c>
      <c r="B8" s="52">
        <v>33.777300459999999</v>
      </c>
      <c r="C8" s="52">
        <v>32.865686609999997</v>
      </c>
      <c r="D8" s="53">
        <f t="shared" si="1"/>
        <v>0.91161385000000195</v>
      </c>
      <c r="E8" s="55">
        <v>1.0917792866666669</v>
      </c>
      <c r="F8" s="56">
        <f t="shared" si="2"/>
        <v>-0.18016543666666496</v>
      </c>
      <c r="G8" s="57">
        <f t="shared" si="0"/>
        <v>1.1330138027591157</v>
      </c>
    </row>
    <row r="9" spans="1:7" x14ac:dyDescent="0.3">
      <c r="A9" s="19" t="s">
        <v>15</v>
      </c>
      <c r="B9" s="49">
        <v>34.889302839999999</v>
      </c>
      <c r="C9" s="16">
        <v>32.667286539999999</v>
      </c>
      <c r="D9" s="17">
        <f t="shared" si="1"/>
        <v>2.2220162999999999</v>
      </c>
      <c r="E9" s="33">
        <f>AVERAGE(D9:D11)</f>
        <v>1.4942458566666659</v>
      </c>
      <c r="F9" s="34">
        <f t="shared" si="2"/>
        <v>0.72777044333333407</v>
      </c>
      <c r="G9" s="20">
        <f t="shared" si="0"/>
        <v>0.60383636846317079</v>
      </c>
    </row>
    <row r="10" spans="1:7" x14ac:dyDescent="0.3">
      <c r="A10" s="19" t="s">
        <v>16</v>
      </c>
      <c r="B10" s="49">
        <v>30.755911260000001</v>
      </c>
      <c r="C10" s="16">
        <v>30.464678410000001</v>
      </c>
      <c r="D10" s="17">
        <f t="shared" si="1"/>
        <v>0.2912328500000001</v>
      </c>
      <c r="E10" s="33">
        <v>1.4942458566666659</v>
      </c>
      <c r="F10" s="34">
        <f t="shared" si="2"/>
        <v>-1.2030130066666658</v>
      </c>
      <c r="G10" s="20">
        <f t="shared" si="0"/>
        <v>2.302199738122733</v>
      </c>
    </row>
    <row r="11" spans="1:7" s="58" customFormat="1" x14ac:dyDescent="0.3">
      <c r="A11" s="51" t="s">
        <v>17</v>
      </c>
      <c r="B11" s="59">
        <v>34.747717649999998</v>
      </c>
      <c r="C11" s="60">
        <v>32.778229230000001</v>
      </c>
      <c r="D11" s="53">
        <f t="shared" si="1"/>
        <v>1.9694884199999976</v>
      </c>
      <c r="E11" s="55">
        <v>1.4942458566666659</v>
      </c>
      <c r="F11" s="56">
        <f t="shared" si="2"/>
        <v>0.4752425633333317</v>
      </c>
      <c r="G11" s="57">
        <f t="shared" si="0"/>
        <v>0.71934583471840241</v>
      </c>
    </row>
    <row r="12" spans="1:7" x14ac:dyDescent="0.3">
      <c r="A12" s="19" t="s">
        <v>18</v>
      </c>
      <c r="B12" s="49">
        <v>33.586031079999998</v>
      </c>
      <c r="C12" s="16">
        <v>32.42149423</v>
      </c>
      <c r="D12" s="17">
        <f t="shared" si="1"/>
        <v>1.1645368499999975</v>
      </c>
      <c r="E12" s="33">
        <f>AVERAGE(D12:D14)</f>
        <v>1.4337032733333335</v>
      </c>
      <c r="F12" s="34">
        <f t="shared" si="2"/>
        <v>-0.26916642333333596</v>
      </c>
      <c r="G12" s="20">
        <f t="shared" si="0"/>
        <v>1.2051113236351942</v>
      </c>
    </row>
    <row r="13" spans="1:7" x14ac:dyDescent="0.3">
      <c r="A13" s="19" t="s">
        <v>19</v>
      </c>
      <c r="B13" s="49">
        <v>31.166719740000001</v>
      </c>
      <c r="C13" s="16">
        <v>30.097736619999999</v>
      </c>
      <c r="D13" s="17">
        <f t="shared" si="1"/>
        <v>1.0689831200000022</v>
      </c>
      <c r="E13" s="33">
        <v>1.4337032733333335</v>
      </c>
      <c r="F13" s="34">
        <f t="shared" si="2"/>
        <v>-0.3647201533333313</v>
      </c>
      <c r="G13" s="20">
        <f t="shared" si="0"/>
        <v>1.2876318369910071</v>
      </c>
    </row>
    <row r="14" spans="1:7" s="58" customFormat="1" x14ac:dyDescent="0.3">
      <c r="A14" s="51" t="s">
        <v>20</v>
      </c>
      <c r="B14" s="59">
        <v>33.639957039999999</v>
      </c>
      <c r="C14" s="60">
        <v>31.572367189999998</v>
      </c>
      <c r="D14" s="53">
        <f t="shared" si="1"/>
        <v>2.067589850000001</v>
      </c>
      <c r="E14" s="55">
        <v>1.4337032733333335</v>
      </c>
      <c r="F14" s="56">
        <f t="shared" si="2"/>
        <v>0.63388657666666748</v>
      </c>
      <c r="G14" s="57">
        <f t="shared" si="0"/>
        <v>0.64443797836141559</v>
      </c>
    </row>
    <row r="15" spans="1:7" x14ac:dyDescent="0.3">
      <c r="A15" s="19" t="s">
        <v>22</v>
      </c>
      <c r="B15" s="49">
        <v>26.879960229999998</v>
      </c>
      <c r="C15" s="16">
        <v>27.190171905</v>
      </c>
      <c r="D15" s="17">
        <f t="shared" si="1"/>
        <v>-0.31021167500000146</v>
      </c>
      <c r="E15" s="33">
        <f>AVERAGE(D15:D17)</f>
        <v>-0.66112231249999986</v>
      </c>
      <c r="F15" s="34">
        <f t="shared" si="2"/>
        <v>0.3509106374999984</v>
      </c>
      <c r="G15" s="20">
        <f t="shared" si="0"/>
        <v>0.78408902011572745</v>
      </c>
    </row>
    <row r="16" spans="1:7" x14ac:dyDescent="0.3">
      <c r="A16" s="19" t="s">
        <v>21</v>
      </c>
      <c r="B16" s="49"/>
      <c r="C16" s="16"/>
      <c r="D16" s="17"/>
      <c r="E16" s="33">
        <v>-0.66112231249999986</v>
      </c>
      <c r="F16" s="34">
        <f t="shared" si="2"/>
        <v>0.66112231249999986</v>
      </c>
      <c r="G16" s="20">
        <f t="shared" si="0"/>
        <v>0.6323861548489853</v>
      </c>
    </row>
    <row r="17" spans="1:7" s="58" customFormat="1" x14ac:dyDescent="0.3">
      <c r="A17" s="51" t="s">
        <v>23</v>
      </c>
      <c r="B17" s="59">
        <v>33.068858300000002</v>
      </c>
      <c r="C17" s="60">
        <v>34.080891250000001</v>
      </c>
      <c r="D17" s="53">
        <f t="shared" si="1"/>
        <v>-1.0120329499999983</v>
      </c>
      <c r="E17" s="55">
        <v>-0.66112231249999986</v>
      </c>
      <c r="F17" s="56">
        <f t="shared" si="2"/>
        <v>-0.3509106374999984</v>
      </c>
      <c r="G17" s="57">
        <f t="shared" si="0"/>
        <v>1.2753653913587581</v>
      </c>
    </row>
    <row r="18" spans="1:7" x14ac:dyDescent="0.3">
      <c r="A18" s="19" t="s">
        <v>24</v>
      </c>
      <c r="B18" s="49">
        <v>29.364795569999998</v>
      </c>
      <c r="C18" s="16">
        <v>26.726052924999998</v>
      </c>
      <c r="D18" s="17">
        <f t="shared" si="1"/>
        <v>2.6387426450000007</v>
      </c>
      <c r="E18" s="33">
        <f>AVERAGE(D18:D20)</f>
        <v>1.1871286283333333</v>
      </c>
      <c r="F18" s="34">
        <f t="shared" si="2"/>
        <v>1.4516140166666673</v>
      </c>
      <c r="G18" s="20">
        <f t="shared" si="0"/>
        <v>0.36561216608655983</v>
      </c>
    </row>
    <row r="19" spans="1:7" x14ac:dyDescent="0.3">
      <c r="A19" s="19" t="s">
        <v>25</v>
      </c>
      <c r="B19" s="49">
        <v>29.84206764</v>
      </c>
      <c r="C19" s="16">
        <v>29.034823485</v>
      </c>
      <c r="D19" s="17">
        <f t="shared" si="1"/>
        <v>0.80724415499999935</v>
      </c>
      <c r="E19" s="33">
        <v>1.1871286283333333</v>
      </c>
      <c r="F19" s="34">
        <f t="shared" si="2"/>
        <v>-0.37988447333333397</v>
      </c>
      <c r="G19" s="20">
        <f t="shared" si="0"/>
        <v>1.301237652084136</v>
      </c>
    </row>
    <row r="20" spans="1:7" s="58" customFormat="1" x14ac:dyDescent="0.3">
      <c r="A20" s="51" t="s">
        <v>26</v>
      </c>
      <c r="B20" s="59">
        <v>32.217168334999997</v>
      </c>
      <c r="C20" s="60">
        <v>32.101769249999997</v>
      </c>
      <c r="D20" s="53">
        <f t="shared" si="1"/>
        <v>0.11539908499999996</v>
      </c>
      <c r="E20" s="55">
        <v>1.1871286283333333</v>
      </c>
      <c r="F20" s="56">
        <f t="shared" si="2"/>
        <v>-1.0717295433333334</v>
      </c>
      <c r="G20" s="57">
        <f t="shared" si="0"/>
        <v>2.1019517361737887</v>
      </c>
    </row>
    <row r="21" spans="1:7" x14ac:dyDescent="0.3">
      <c r="A21" s="19" t="s">
        <v>27</v>
      </c>
      <c r="B21" s="49">
        <v>29.31120542</v>
      </c>
      <c r="C21" s="16">
        <v>28.540958679999999</v>
      </c>
      <c r="D21" s="17">
        <f t="shared" si="1"/>
        <v>0.77024674000000104</v>
      </c>
      <c r="E21" s="33">
        <f>AVERAGE(D21:D23)</f>
        <v>1.4269526600000002</v>
      </c>
      <c r="F21" s="34">
        <f t="shared" si="2"/>
        <v>-0.65670591999999917</v>
      </c>
      <c r="G21" s="20">
        <f t="shared" si="0"/>
        <v>1.5764789647464135</v>
      </c>
    </row>
    <row r="22" spans="1:7" x14ac:dyDescent="0.3">
      <c r="A22" s="19" t="s">
        <v>28</v>
      </c>
      <c r="B22" s="49">
        <v>28.256040729999999</v>
      </c>
      <c r="C22" s="16">
        <v>26.679602469999999</v>
      </c>
      <c r="D22" s="17">
        <f t="shared" si="1"/>
        <v>1.5764382599999998</v>
      </c>
      <c r="E22" s="33">
        <v>1.4269526600000002</v>
      </c>
      <c r="F22" s="34">
        <f t="shared" si="2"/>
        <v>0.14948559999999955</v>
      </c>
      <c r="G22" s="20">
        <f t="shared" si="0"/>
        <v>0.90157186518355348</v>
      </c>
    </row>
    <row r="23" spans="1:7" s="58" customFormat="1" x14ac:dyDescent="0.3">
      <c r="A23" s="51" t="s">
        <v>29</v>
      </c>
      <c r="B23" s="52">
        <v>26.318812579999999</v>
      </c>
      <c r="C23" s="52">
        <v>24.3846396</v>
      </c>
      <c r="D23" s="53">
        <f t="shared" si="1"/>
        <v>1.9341729799999996</v>
      </c>
      <c r="E23" s="55">
        <v>1.4269526600000002</v>
      </c>
      <c r="F23" s="56">
        <f t="shared" si="2"/>
        <v>0.50722031999999939</v>
      </c>
      <c r="G23" s="57">
        <f t="shared" si="0"/>
        <v>0.70357673330931236</v>
      </c>
    </row>
    <row r="24" spans="1:7" x14ac:dyDescent="0.3">
      <c r="A24" s="19" t="s">
        <v>30</v>
      </c>
      <c r="B24" s="12">
        <v>25.804980395000001</v>
      </c>
      <c r="C24" s="12">
        <v>24.566954259999999</v>
      </c>
      <c r="D24" s="17">
        <f t="shared" si="1"/>
        <v>1.2380261350000019</v>
      </c>
      <c r="E24" s="33">
        <f>AVERAGE(D24:D26)</f>
        <v>-0.58679494666666676</v>
      </c>
      <c r="F24" s="34">
        <f t="shared" si="2"/>
        <v>1.8248210816666686</v>
      </c>
      <c r="G24" s="20">
        <f t="shared" si="0"/>
        <v>0.28227610599286296</v>
      </c>
    </row>
    <row r="25" spans="1:7" x14ac:dyDescent="0.3">
      <c r="A25" s="19" t="s">
        <v>31</v>
      </c>
      <c r="B25" s="12">
        <v>25.395807104999999</v>
      </c>
      <c r="C25" s="12">
        <v>29.144372929999999</v>
      </c>
      <c r="D25" s="17">
        <f t="shared" si="1"/>
        <v>-3.748565825</v>
      </c>
      <c r="E25" s="33">
        <v>-0.58679494666666676</v>
      </c>
      <c r="F25" s="34">
        <f t="shared" si="2"/>
        <v>-3.1617708783333334</v>
      </c>
      <c r="G25" s="20">
        <f t="shared" si="0"/>
        <v>8.9492754159108525</v>
      </c>
    </row>
    <row r="26" spans="1:7" s="58" customFormat="1" x14ac:dyDescent="0.3">
      <c r="A26" s="51" t="s">
        <v>32</v>
      </c>
      <c r="B26" s="52">
        <v>31.175301269999999</v>
      </c>
      <c r="C26" s="52">
        <v>30.425146420000001</v>
      </c>
      <c r="D26" s="53">
        <f t="shared" si="1"/>
        <v>0.75015484999999771</v>
      </c>
      <c r="E26" s="55">
        <v>-0.58679494666666676</v>
      </c>
      <c r="F26" s="56">
        <f t="shared" si="2"/>
        <v>1.3369497966666644</v>
      </c>
      <c r="G26" s="57">
        <f t="shared" si="0"/>
        <v>0.39585670783602606</v>
      </c>
    </row>
    <row r="27" spans="1:7" x14ac:dyDescent="0.3">
      <c r="A27" s="19" t="s">
        <v>33</v>
      </c>
      <c r="B27" s="12">
        <v>29.43770885</v>
      </c>
      <c r="C27" s="12">
        <v>24.688429989999999</v>
      </c>
      <c r="D27" s="17">
        <f t="shared" si="1"/>
        <v>4.7492788600000004</v>
      </c>
      <c r="E27" s="33">
        <f>AVERAGE(D27:D29)</f>
        <v>1.6684732933333326</v>
      </c>
      <c r="F27" s="34">
        <f t="shared" si="2"/>
        <v>3.080805566666668</v>
      </c>
      <c r="G27" s="20">
        <f t="shared" si="0"/>
        <v>0.11819119225586477</v>
      </c>
    </row>
    <row r="28" spans="1:7" x14ac:dyDescent="0.3">
      <c r="A28" s="19" t="s">
        <v>34</v>
      </c>
      <c r="B28" s="12">
        <v>28.474216899999998</v>
      </c>
      <c r="C28" s="12">
        <v>28.68758021</v>
      </c>
      <c r="D28" s="17">
        <f t="shared" si="1"/>
        <v>-0.21336331000000186</v>
      </c>
      <c r="E28" s="33">
        <v>1.6684732933333326</v>
      </c>
      <c r="F28" s="34">
        <f t="shared" si="2"/>
        <v>-1.8818366033333345</v>
      </c>
      <c r="G28" s="20">
        <f t="shared" si="0"/>
        <v>3.6854393158961583</v>
      </c>
    </row>
    <row r="29" spans="1:7" s="58" customFormat="1" x14ac:dyDescent="0.3">
      <c r="A29" s="51" t="s">
        <v>35</v>
      </c>
      <c r="B29" s="52">
        <v>30.831712320000001</v>
      </c>
      <c r="C29" s="52">
        <v>30.362207990000002</v>
      </c>
      <c r="D29" s="53">
        <f t="shared" si="1"/>
        <v>0.46950432999999947</v>
      </c>
      <c r="E29" s="55">
        <v>1.6684732933333326</v>
      </c>
      <c r="F29" s="56">
        <f t="shared" si="2"/>
        <v>-1.1989689633333331</v>
      </c>
      <c r="G29" s="57">
        <f t="shared" si="0"/>
        <v>2.2957554386425212</v>
      </c>
    </row>
    <row r="30" spans="1:7" x14ac:dyDescent="0.3">
      <c r="A30" s="19" t="s">
        <v>36</v>
      </c>
      <c r="B30" s="12">
        <v>28.738318060000001</v>
      </c>
      <c r="C30" s="12">
        <v>26.906807990000001</v>
      </c>
      <c r="D30" s="17">
        <f t="shared" si="1"/>
        <v>1.8315100700000002</v>
      </c>
      <c r="E30" s="33">
        <f>AVERAGE(D30:D32)</f>
        <v>1.4252400716666667</v>
      </c>
      <c r="F30" s="34">
        <f t="shared" si="2"/>
        <v>0.40626999833333355</v>
      </c>
      <c r="G30" s="20">
        <f t="shared" si="0"/>
        <v>0.75457175401025478</v>
      </c>
    </row>
    <row r="31" spans="1:7" x14ac:dyDescent="0.3">
      <c r="A31" s="19" t="s">
        <v>37</v>
      </c>
      <c r="B31" s="12">
        <v>28.710691140000002</v>
      </c>
      <c r="C31" s="12">
        <v>27.74928924</v>
      </c>
      <c r="D31" s="17">
        <f t="shared" si="1"/>
        <v>0.96140190000000203</v>
      </c>
      <c r="E31" s="33">
        <v>1.4252400716666667</v>
      </c>
      <c r="F31" s="34">
        <f t="shared" si="2"/>
        <v>-0.46383817166666463</v>
      </c>
      <c r="G31" s="20">
        <f t="shared" si="0"/>
        <v>1.3792062064133257</v>
      </c>
    </row>
    <row r="32" spans="1:7" ht="16.2" thickBot="1" x14ac:dyDescent="0.35">
      <c r="A32" s="29" t="s">
        <v>38</v>
      </c>
      <c r="B32" s="13">
        <v>29.815722314999999</v>
      </c>
      <c r="C32" s="13">
        <v>28.332914070000001</v>
      </c>
      <c r="D32" s="21">
        <f t="shared" si="1"/>
        <v>1.4828082449999975</v>
      </c>
      <c r="E32" s="23">
        <v>1.4252400716666667</v>
      </c>
      <c r="F32" s="24">
        <f t="shared" si="2"/>
        <v>5.7568173333330863E-2</v>
      </c>
      <c r="G32" s="31">
        <f t="shared" si="0"/>
        <v>0.96088243170201393</v>
      </c>
    </row>
    <row r="33" spans="1:7" x14ac:dyDescent="0.3">
      <c r="A33" s="25"/>
      <c r="B33" s="14"/>
      <c r="C33" s="14"/>
      <c r="D33" s="26"/>
      <c r="E33" s="18"/>
      <c r="F33" s="17"/>
      <c r="G33" s="17"/>
    </row>
    <row r="34" spans="1:7" x14ac:dyDescent="0.3">
      <c r="A34" s="15"/>
      <c r="B34" s="16"/>
      <c r="C34" s="16"/>
      <c r="D34" s="17"/>
      <c r="E34" s="18"/>
      <c r="F34" s="17"/>
      <c r="G34" s="17"/>
    </row>
    <row r="35" spans="1:7" ht="16.2" thickBot="1" x14ac:dyDescent="0.35">
      <c r="A35" s="15"/>
      <c r="B35" s="16"/>
      <c r="C35" s="16"/>
      <c r="D35" s="17"/>
      <c r="E35" s="18"/>
      <c r="F35" s="17"/>
      <c r="G35" s="17"/>
    </row>
    <row r="36" spans="1:7" x14ac:dyDescent="0.3">
      <c r="A36" s="6" t="s">
        <v>11</v>
      </c>
      <c r="B36" s="7" t="s">
        <v>3</v>
      </c>
      <c r="C36" s="7" t="s">
        <v>4</v>
      </c>
      <c r="D36" s="7" t="s">
        <v>5</v>
      </c>
      <c r="E36" s="10"/>
      <c r="F36" s="9"/>
      <c r="G36" s="11"/>
    </row>
    <row r="37" spans="1:7" ht="16.2" thickBot="1" x14ac:dyDescent="0.35">
      <c r="A37" s="38" t="s">
        <v>0</v>
      </c>
      <c r="B37" s="39" t="s">
        <v>6</v>
      </c>
      <c r="C37" s="39" t="s">
        <v>6</v>
      </c>
      <c r="D37" s="39" t="s">
        <v>7</v>
      </c>
      <c r="E37" s="28" t="s">
        <v>66</v>
      </c>
      <c r="F37" s="40" t="s">
        <v>67</v>
      </c>
      <c r="G37" s="41" t="s">
        <v>68</v>
      </c>
    </row>
    <row r="38" spans="1:7" x14ac:dyDescent="0.3">
      <c r="A38" s="42" t="s">
        <v>39</v>
      </c>
      <c r="B38" s="43">
        <v>31.792749799999999</v>
      </c>
      <c r="C38" s="43">
        <v>30.311870435000003</v>
      </c>
      <c r="D38" s="44">
        <f>B38-C38</f>
        <v>1.4808793649999963</v>
      </c>
      <c r="E38" s="46"/>
      <c r="F38" s="47">
        <f>D38-E6</f>
        <v>0.38910007833332938</v>
      </c>
      <c r="G38" s="48">
        <f t="shared" ref="G38:G64" si="3">(2^(-F38))</f>
        <v>0.76360577656279971</v>
      </c>
    </row>
    <row r="39" spans="1:7" x14ac:dyDescent="0.3">
      <c r="A39" s="19" t="s">
        <v>40</v>
      </c>
      <c r="B39" s="12">
        <v>28.957938049999999</v>
      </c>
      <c r="C39" s="12">
        <v>28.32844944</v>
      </c>
      <c r="D39" s="17">
        <f t="shared" ref="D39:D64" si="4">B39-C39</f>
        <v>0.62948860999999923</v>
      </c>
      <c r="E39" s="33"/>
      <c r="F39" s="34">
        <f t="shared" ref="F39:F64" si="5">D39-E7</f>
        <v>-0.46229067666666768</v>
      </c>
      <c r="G39" s="20">
        <f t="shared" si="3"/>
        <v>1.3777276053372034</v>
      </c>
    </row>
    <row r="40" spans="1:7" s="58" customFormat="1" x14ac:dyDescent="0.3">
      <c r="A40" s="51" t="s">
        <v>41</v>
      </c>
      <c r="B40" s="52">
        <v>29.415135190000001</v>
      </c>
      <c r="C40" s="52">
        <v>28.552696489999999</v>
      </c>
      <c r="D40" s="53">
        <f t="shared" si="4"/>
        <v>0.862438700000002</v>
      </c>
      <c r="E40" s="55"/>
      <c r="F40" s="56">
        <f t="shared" si="5"/>
        <v>-0.2293405866666649</v>
      </c>
      <c r="G40" s="57">
        <f t="shared" si="3"/>
        <v>1.1722990034754572</v>
      </c>
    </row>
    <row r="41" spans="1:7" x14ac:dyDescent="0.3">
      <c r="A41" s="19" t="s">
        <v>42</v>
      </c>
      <c r="B41" s="12">
        <v>30.00505398</v>
      </c>
      <c r="C41" s="12">
        <v>29.881382854999998</v>
      </c>
      <c r="D41" s="17">
        <f t="shared" si="4"/>
        <v>0.12367112500000133</v>
      </c>
      <c r="E41" s="33"/>
      <c r="F41" s="34">
        <f t="shared" si="5"/>
        <v>-1.3705747316666645</v>
      </c>
      <c r="G41" s="20">
        <f t="shared" si="3"/>
        <v>2.5857355449885708</v>
      </c>
    </row>
    <row r="42" spans="1:7" x14ac:dyDescent="0.3">
      <c r="A42" s="19" t="s">
        <v>43</v>
      </c>
      <c r="B42" s="12">
        <v>31.3138407</v>
      </c>
      <c r="C42" s="12">
        <v>31.002959730000001</v>
      </c>
      <c r="D42" s="17">
        <f t="shared" si="4"/>
        <v>0.31088096999999948</v>
      </c>
      <c r="E42" s="33"/>
      <c r="F42" s="34">
        <f t="shared" si="5"/>
        <v>-1.1833648866666664</v>
      </c>
      <c r="G42" s="20">
        <f t="shared" si="3"/>
        <v>2.2710585281559275</v>
      </c>
    </row>
    <row r="43" spans="1:7" s="58" customFormat="1" x14ac:dyDescent="0.3">
      <c r="A43" s="51" t="s">
        <v>44</v>
      </c>
      <c r="B43" s="52">
        <v>27.945458410000001</v>
      </c>
      <c r="C43" s="52">
        <v>27.414124789999999</v>
      </c>
      <c r="D43" s="53">
        <f t="shared" si="4"/>
        <v>0.53133362000000162</v>
      </c>
      <c r="E43" s="55"/>
      <c r="F43" s="56">
        <f t="shared" si="5"/>
        <v>-0.96291223666666426</v>
      </c>
      <c r="G43" s="57">
        <f t="shared" si="3"/>
        <v>1.9492406801991704</v>
      </c>
    </row>
    <row r="44" spans="1:7" x14ac:dyDescent="0.3">
      <c r="A44" s="19" t="s">
        <v>45</v>
      </c>
      <c r="B44" s="49">
        <v>33.643063904999998</v>
      </c>
      <c r="C44" s="49">
        <v>32.65312625</v>
      </c>
      <c r="D44" s="17">
        <f t="shared" si="4"/>
        <v>0.98993765499999853</v>
      </c>
      <c r="E44" s="33"/>
      <c r="F44" s="34">
        <f t="shared" si="5"/>
        <v>-0.44376561833333494</v>
      </c>
      <c r="G44" s="20">
        <f t="shared" si="3"/>
        <v>1.360149863160121</v>
      </c>
    </row>
    <row r="45" spans="1:7" x14ac:dyDescent="0.3">
      <c r="A45" s="19" t="s">
        <v>46</v>
      </c>
      <c r="B45" s="49">
        <v>32.816832069999997</v>
      </c>
      <c r="C45" s="49">
        <v>31.19054131</v>
      </c>
      <c r="D45" s="17">
        <f t="shared" si="4"/>
        <v>1.6262907599999963</v>
      </c>
      <c r="E45" s="33"/>
      <c r="F45" s="34">
        <f t="shared" si="5"/>
        <v>0.19258748666666281</v>
      </c>
      <c r="G45" s="20">
        <f t="shared" si="3"/>
        <v>0.87503493002378452</v>
      </c>
    </row>
    <row r="46" spans="1:7" s="58" customFormat="1" x14ac:dyDescent="0.3">
      <c r="A46" s="51" t="s">
        <v>47</v>
      </c>
      <c r="B46" s="59">
        <v>32.532323359999999</v>
      </c>
      <c r="C46" s="59">
        <v>31.289609980000002</v>
      </c>
      <c r="D46" s="53">
        <f t="shared" si="4"/>
        <v>1.2427133799999979</v>
      </c>
      <c r="E46" s="55"/>
      <c r="F46" s="56">
        <f t="shared" si="5"/>
        <v>-0.1909898933333356</v>
      </c>
      <c r="G46" s="57">
        <f t="shared" si="3"/>
        <v>1.1415467100988743</v>
      </c>
    </row>
    <row r="47" spans="1:7" x14ac:dyDescent="0.3">
      <c r="A47" s="19" t="s">
        <v>48</v>
      </c>
      <c r="B47" s="49">
        <v>26.928285209999999</v>
      </c>
      <c r="C47" s="49">
        <v>25.507464554999999</v>
      </c>
      <c r="D47" s="17">
        <f t="shared" si="4"/>
        <v>1.420820655</v>
      </c>
      <c r="E47" s="33"/>
      <c r="F47" s="34">
        <f t="shared" si="5"/>
        <v>2.0819429674999999</v>
      </c>
      <c r="G47" s="20">
        <f t="shared" si="3"/>
        <v>0.23619609734915939</v>
      </c>
    </row>
    <row r="48" spans="1:7" x14ac:dyDescent="0.3">
      <c r="A48" s="19" t="s">
        <v>49</v>
      </c>
      <c r="B48" s="49">
        <v>26.823101579999999</v>
      </c>
      <c r="C48" s="49">
        <v>25.125667110000002</v>
      </c>
      <c r="D48" s="17">
        <f t="shared" si="4"/>
        <v>1.6974344699999975</v>
      </c>
      <c r="E48" s="33"/>
      <c r="F48" s="34">
        <f t="shared" si="5"/>
        <v>2.3585567824999973</v>
      </c>
      <c r="G48" s="20">
        <f t="shared" si="3"/>
        <v>0.19498610410054781</v>
      </c>
    </row>
    <row r="49" spans="1:7" s="58" customFormat="1" x14ac:dyDescent="0.3">
      <c r="A49" s="51" t="s">
        <v>50</v>
      </c>
      <c r="B49" s="59">
        <v>32.936250540000003</v>
      </c>
      <c r="C49" s="59">
        <v>30.753542330000002</v>
      </c>
      <c r="D49" s="53">
        <f t="shared" si="4"/>
        <v>2.1827082100000013</v>
      </c>
      <c r="E49" s="55"/>
      <c r="F49" s="56">
        <f t="shared" si="5"/>
        <v>2.8438305225000011</v>
      </c>
      <c r="G49" s="57">
        <f t="shared" si="3"/>
        <v>0.13929056825156896</v>
      </c>
    </row>
    <row r="50" spans="1:7" x14ac:dyDescent="0.3">
      <c r="A50" s="19" t="s">
        <v>51</v>
      </c>
      <c r="B50" s="49">
        <v>27.923258229999998</v>
      </c>
      <c r="C50" s="49">
        <v>26.788106075000002</v>
      </c>
      <c r="D50" s="17">
        <f t="shared" si="4"/>
        <v>1.1351521549999966</v>
      </c>
      <c r="E50" s="33"/>
      <c r="F50" s="34">
        <f t="shared" si="5"/>
        <v>-5.197647333333677E-2</v>
      </c>
      <c r="G50" s="20">
        <f t="shared" si="3"/>
        <v>1.0366841952138002</v>
      </c>
    </row>
    <row r="51" spans="1:7" x14ac:dyDescent="0.3">
      <c r="A51" s="19" t="s">
        <v>52</v>
      </c>
      <c r="B51" s="49">
        <v>29.028885240000001</v>
      </c>
      <c r="C51" s="49">
        <v>27.820013410000001</v>
      </c>
      <c r="D51" s="17">
        <f t="shared" si="4"/>
        <v>1.2088718299999996</v>
      </c>
      <c r="E51" s="33"/>
      <c r="F51" s="34">
        <f t="shared" si="5"/>
        <v>2.1743201666666323E-2</v>
      </c>
      <c r="G51" s="20">
        <f t="shared" si="3"/>
        <v>0.9850417637806379</v>
      </c>
    </row>
    <row r="52" spans="1:7" s="58" customFormat="1" x14ac:dyDescent="0.3">
      <c r="A52" s="51" t="s">
        <v>53</v>
      </c>
      <c r="B52" s="59">
        <v>31.662730400000001</v>
      </c>
      <c r="C52" s="59">
        <v>31.068124279999999</v>
      </c>
      <c r="D52" s="53">
        <f t="shared" si="4"/>
        <v>0.59460612000000168</v>
      </c>
      <c r="E52" s="55"/>
      <c r="F52" s="56">
        <f t="shared" si="5"/>
        <v>-0.59252250833333164</v>
      </c>
      <c r="G52" s="57">
        <f t="shared" si="3"/>
        <v>1.5078809277188019</v>
      </c>
    </row>
    <row r="53" spans="1:7" x14ac:dyDescent="0.3">
      <c r="A53" s="19" t="s">
        <v>54</v>
      </c>
      <c r="B53" s="49">
        <v>28.236267250000001</v>
      </c>
      <c r="C53" s="49">
        <v>26.2769905</v>
      </c>
      <c r="D53" s="17">
        <f t="shared" si="4"/>
        <v>1.9592767500000008</v>
      </c>
      <c r="E53" s="33"/>
      <c r="F53" s="34">
        <f t="shared" si="5"/>
        <v>0.53232409000000058</v>
      </c>
      <c r="G53" s="20">
        <f t="shared" si="3"/>
        <v>0.69143997055165074</v>
      </c>
    </row>
    <row r="54" spans="1:7" x14ac:dyDescent="0.3">
      <c r="A54" s="19" t="s">
        <v>55</v>
      </c>
      <c r="B54" s="49">
        <v>26.229877649999999</v>
      </c>
      <c r="C54" s="49">
        <v>24.767981800000001</v>
      </c>
      <c r="D54" s="17">
        <f t="shared" si="4"/>
        <v>1.4618958499999977</v>
      </c>
      <c r="E54" s="33"/>
      <c r="F54" s="34">
        <f t="shared" si="5"/>
        <v>3.4943189999997459E-2</v>
      </c>
      <c r="G54" s="20">
        <f t="shared" si="3"/>
        <v>0.97607019541035678</v>
      </c>
    </row>
    <row r="55" spans="1:7" s="58" customFormat="1" x14ac:dyDescent="0.3">
      <c r="A55" s="51" t="s">
        <v>56</v>
      </c>
      <c r="B55" s="59">
        <v>34.48638227</v>
      </c>
      <c r="C55" s="59">
        <v>33.068048445000002</v>
      </c>
      <c r="D55" s="53">
        <f t="shared" si="4"/>
        <v>1.4183338249999977</v>
      </c>
      <c r="E55" s="55"/>
      <c r="F55" s="56">
        <f t="shared" si="5"/>
        <v>-8.6188350000024894E-3</v>
      </c>
      <c r="G55" s="57">
        <f t="shared" si="3"/>
        <v>1.0059920018312249</v>
      </c>
    </row>
    <row r="56" spans="1:7" x14ac:dyDescent="0.3">
      <c r="A56" s="19" t="s">
        <v>57</v>
      </c>
      <c r="B56" s="49">
        <v>25.538347885</v>
      </c>
      <c r="C56" s="49">
        <v>26.653787854999997</v>
      </c>
      <c r="D56" s="17">
        <f t="shared" si="4"/>
        <v>-1.1154399699999971</v>
      </c>
      <c r="E56" s="33"/>
      <c r="F56" s="34">
        <f t="shared" si="5"/>
        <v>-0.5286450233333303</v>
      </c>
      <c r="G56" s="20">
        <f t="shared" si="3"/>
        <v>1.4425736963808016</v>
      </c>
    </row>
    <row r="57" spans="1:7" x14ac:dyDescent="0.3">
      <c r="A57" s="19" t="s">
        <v>58</v>
      </c>
      <c r="B57" s="49">
        <v>27.006314249999999</v>
      </c>
      <c r="C57" s="49">
        <v>26.735394865</v>
      </c>
      <c r="D57" s="17">
        <f t="shared" si="4"/>
        <v>0.27091938499999912</v>
      </c>
      <c r="E57" s="33"/>
      <c r="F57" s="34">
        <f t="shared" si="5"/>
        <v>0.85771433166666589</v>
      </c>
      <c r="G57" s="20">
        <f t="shared" si="3"/>
        <v>0.55182612640524198</v>
      </c>
    </row>
    <row r="58" spans="1:7" s="58" customFormat="1" x14ac:dyDescent="0.3">
      <c r="A58" s="51" t="s">
        <v>59</v>
      </c>
      <c r="B58" s="59">
        <v>28.421490949999999</v>
      </c>
      <c r="C58" s="59">
        <v>28.471120665000001</v>
      </c>
      <c r="D58" s="53">
        <f t="shared" si="4"/>
        <v>-4.9629715000001795E-2</v>
      </c>
      <c r="E58" s="55"/>
      <c r="F58" s="56">
        <f t="shared" si="5"/>
        <v>0.53716523166666497</v>
      </c>
      <c r="G58" s="57">
        <f t="shared" si="3"/>
        <v>0.68912364673053239</v>
      </c>
    </row>
    <row r="59" spans="1:7" x14ac:dyDescent="0.3">
      <c r="A59" s="19" t="s">
        <v>60</v>
      </c>
      <c r="B59" s="49">
        <v>28.42517466</v>
      </c>
      <c r="C59" s="49">
        <v>27.24447018</v>
      </c>
      <c r="D59" s="17">
        <f t="shared" si="4"/>
        <v>1.1807044799999993</v>
      </c>
      <c r="E59" s="33"/>
      <c r="F59" s="34">
        <f t="shared" si="5"/>
        <v>-0.48776881333333333</v>
      </c>
      <c r="G59" s="20">
        <f t="shared" si="3"/>
        <v>1.4022745232122213</v>
      </c>
    </row>
    <row r="60" spans="1:7" x14ac:dyDescent="0.3">
      <c r="A60" s="19" t="s">
        <v>61</v>
      </c>
      <c r="B60" s="49">
        <v>30.38798306</v>
      </c>
      <c r="C60" s="49">
        <v>29.766383350000002</v>
      </c>
      <c r="D60" s="17">
        <f t="shared" si="4"/>
        <v>0.62159970999999814</v>
      </c>
      <c r="E60" s="33"/>
      <c r="F60" s="34">
        <f t="shared" si="5"/>
        <v>-1.0468735833333345</v>
      </c>
      <c r="G60" s="20">
        <f t="shared" si="3"/>
        <v>2.0660477292683215</v>
      </c>
    </row>
    <row r="61" spans="1:7" s="58" customFormat="1" x14ac:dyDescent="0.3">
      <c r="A61" s="51" t="s">
        <v>64</v>
      </c>
      <c r="B61" s="59">
        <v>31.738234649999999</v>
      </c>
      <c r="C61" s="59">
        <v>30.48974226</v>
      </c>
      <c r="D61" s="53">
        <f t="shared" si="4"/>
        <v>1.2484923899999991</v>
      </c>
      <c r="E61" s="55"/>
      <c r="F61" s="56">
        <f t="shared" si="5"/>
        <v>-0.41998090333333349</v>
      </c>
      <c r="G61" s="57">
        <f t="shared" si="3"/>
        <v>1.3379098450229852</v>
      </c>
    </row>
    <row r="62" spans="1:7" x14ac:dyDescent="0.3">
      <c r="A62" s="50" t="s">
        <v>62</v>
      </c>
      <c r="B62" s="12">
        <v>26.803650380000001</v>
      </c>
      <c r="C62" s="12">
        <v>25.386087775</v>
      </c>
      <c r="D62" s="17">
        <f t="shared" si="4"/>
        <v>1.4175626050000005</v>
      </c>
      <c r="E62" s="33"/>
      <c r="F62" s="34">
        <f t="shared" si="5"/>
        <v>-7.6774666666661329E-3</v>
      </c>
      <c r="G62" s="20">
        <f t="shared" si="3"/>
        <v>1.0053357993147136</v>
      </c>
    </row>
    <row r="63" spans="1:7" x14ac:dyDescent="0.3">
      <c r="A63" s="19" t="s">
        <v>63</v>
      </c>
      <c r="B63" s="12">
        <v>26.82758638</v>
      </c>
      <c r="C63" s="12">
        <v>25.709133680000001</v>
      </c>
      <c r="D63" s="17">
        <f t="shared" si="4"/>
        <v>1.1184526999999989</v>
      </c>
      <c r="E63" s="33"/>
      <c r="F63" s="34">
        <f t="shared" si="5"/>
        <v>-0.30678737166666781</v>
      </c>
      <c r="G63" s="20">
        <f t="shared" si="3"/>
        <v>1.2369501601610244</v>
      </c>
    </row>
    <row r="64" spans="1:7" ht="16.2" thickBot="1" x14ac:dyDescent="0.35">
      <c r="A64" s="29" t="s">
        <v>65</v>
      </c>
      <c r="B64" s="13">
        <v>31.974426560000001</v>
      </c>
      <c r="C64" s="30">
        <v>30.55016058</v>
      </c>
      <c r="D64" s="21">
        <f t="shared" si="4"/>
        <v>1.4242659800000013</v>
      </c>
      <c r="E64" s="23"/>
      <c r="F64" s="24">
        <f t="shared" si="5"/>
        <v>-9.7409166666539981E-4</v>
      </c>
      <c r="G64" s="31">
        <f t="shared" si="3"/>
        <v>1.0006754168836858</v>
      </c>
    </row>
    <row r="65" spans="1:7" x14ac:dyDescent="0.3">
      <c r="A65" s="15"/>
      <c r="B65" s="16"/>
      <c r="C65" s="15"/>
      <c r="D65" s="17"/>
      <c r="E65" s="18"/>
      <c r="F65" s="17"/>
      <c r="G65" s="17"/>
    </row>
    <row r="66" spans="1:7" x14ac:dyDescent="0.3">
      <c r="A66" s="19"/>
      <c r="B66" s="12"/>
      <c r="C66" s="12"/>
      <c r="D66" s="17"/>
      <c r="E66" s="12"/>
      <c r="F66" s="12"/>
      <c r="G6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RANKED</vt:lpstr>
      <vt:lpstr>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Parekh, Fenali</dc:creator>
  <cp:keywords/>
  <dc:description/>
  <cp:lastModifiedBy>Hannay, Del</cp:lastModifiedBy>
  <cp:revision/>
  <dcterms:created xsi:type="dcterms:W3CDTF">2020-10-14T17:36:14Z</dcterms:created>
  <dcterms:modified xsi:type="dcterms:W3CDTF">2024-04-05T14:29:15Z</dcterms:modified>
  <cp:category/>
  <cp:contentStatus/>
</cp:coreProperties>
</file>