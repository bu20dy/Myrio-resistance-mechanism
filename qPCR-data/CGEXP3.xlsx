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82d435\Documents\PDS project\"/>
    </mc:Choice>
  </mc:AlternateContent>
  <xr:revisionPtr revIDLastSave="0" documentId="13_ncr:1_{56B1E4B2-8C94-4F2C-B1E0-36BC711284B1}" xr6:coauthVersionLast="47" xr6:coauthVersionMax="47" xr10:uidLastSave="{00000000-0000-0000-0000-000000000000}"/>
  <bookViews>
    <workbookView xWindow="28680" yWindow="-120" windowWidth="24240" windowHeight="13020" xr2:uid="{120444E1-65BA-CD47-86F0-32876F11B3FB}"/>
  </bookViews>
  <sheets>
    <sheet name="RANKED" sheetId="16" r:id="rId1"/>
    <sheet name="UNRANKED" sheetId="17" r:id="rId2"/>
  </sheets>
  <calcPr calcId="191028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4" i="17" l="1"/>
  <c r="F63" i="17"/>
  <c r="F62" i="17"/>
  <c r="F61" i="17"/>
  <c r="G61" i="17" s="1"/>
  <c r="F60" i="17"/>
  <c r="G60" i="17" s="1"/>
  <c r="F59" i="17"/>
  <c r="F58" i="17"/>
  <c r="F57" i="17"/>
  <c r="F56" i="17"/>
  <c r="F55" i="17"/>
  <c r="F54" i="17"/>
  <c r="F53" i="17"/>
  <c r="F52" i="17"/>
  <c r="F51" i="17"/>
  <c r="G51" i="17" s="1"/>
  <c r="F50" i="17"/>
  <c r="F49" i="17"/>
  <c r="G49" i="17" s="1"/>
  <c r="F48" i="17"/>
  <c r="F47" i="17"/>
  <c r="F46" i="17"/>
  <c r="G46" i="17" s="1"/>
  <c r="F45" i="17"/>
  <c r="F44" i="17"/>
  <c r="F43" i="17"/>
  <c r="G43" i="17" s="1"/>
  <c r="F42" i="17"/>
  <c r="G42" i="17" s="1"/>
  <c r="F41" i="17"/>
  <c r="F40" i="17"/>
  <c r="F39" i="17"/>
  <c r="F38" i="17"/>
  <c r="G64" i="17"/>
  <c r="D64" i="17"/>
  <c r="G63" i="17"/>
  <c r="D63" i="17"/>
  <c r="D62" i="17"/>
  <c r="D61" i="17"/>
  <c r="D60" i="17"/>
  <c r="D59" i="17"/>
  <c r="G58" i="17"/>
  <c r="D58" i="17"/>
  <c r="G57" i="17"/>
  <c r="D57" i="17"/>
  <c r="D56" i="17"/>
  <c r="G55" i="17"/>
  <c r="D55" i="17"/>
  <c r="G54" i="17"/>
  <c r="D54" i="17"/>
  <c r="D53" i="17"/>
  <c r="G52" i="17"/>
  <c r="D52" i="17"/>
  <c r="D51" i="17"/>
  <c r="D50" i="17"/>
  <c r="D49" i="17"/>
  <c r="G48" i="17"/>
  <c r="D48" i="17"/>
  <c r="D47" i="17"/>
  <c r="D46" i="17"/>
  <c r="G45" i="17"/>
  <c r="D45" i="17"/>
  <c r="D44" i="17"/>
  <c r="D43" i="17"/>
  <c r="D42" i="17"/>
  <c r="D41" i="17"/>
  <c r="G40" i="17"/>
  <c r="D40" i="17"/>
  <c r="G39" i="17"/>
  <c r="D39" i="17"/>
  <c r="D38" i="17"/>
  <c r="D32" i="17"/>
  <c r="F32" i="17" s="1"/>
  <c r="G32" i="17" s="1"/>
  <c r="D31" i="17"/>
  <c r="F31" i="17" s="1"/>
  <c r="G31" i="17" s="1"/>
  <c r="D30" i="17"/>
  <c r="E30" i="17" s="1"/>
  <c r="D29" i="17"/>
  <c r="F29" i="17" s="1"/>
  <c r="G29" i="17" s="1"/>
  <c r="D28" i="17"/>
  <c r="F28" i="17" s="1"/>
  <c r="G28" i="17" s="1"/>
  <c r="D27" i="17"/>
  <c r="D26" i="17"/>
  <c r="F26" i="17" s="1"/>
  <c r="G26" i="17" s="1"/>
  <c r="D25" i="17"/>
  <c r="F25" i="17" s="1"/>
  <c r="G25" i="17" s="1"/>
  <c r="D24" i="17"/>
  <c r="E24" i="17" s="1"/>
  <c r="F24" i="17" s="1"/>
  <c r="G24" i="17" s="1"/>
  <c r="D23" i="17"/>
  <c r="F23" i="17" s="1"/>
  <c r="G23" i="17" s="1"/>
  <c r="D22" i="17"/>
  <c r="F22" i="17" s="1"/>
  <c r="G22" i="17" s="1"/>
  <c r="D21" i="17"/>
  <c r="E21" i="17" s="1"/>
  <c r="D20" i="17"/>
  <c r="E18" i="17" s="1"/>
  <c r="D19" i="17"/>
  <c r="F19" i="17" s="1"/>
  <c r="G19" i="17" s="1"/>
  <c r="D18" i="17"/>
  <c r="D17" i="17"/>
  <c r="F17" i="17" s="1"/>
  <c r="G17" i="17" s="1"/>
  <c r="D16" i="17"/>
  <c r="F16" i="17" s="1"/>
  <c r="G16" i="17" s="1"/>
  <c r="D15" i="17"/>
  <c r="E15" i="17" s="1"/>
  <c r="D14" i="17"/>
  <c r="F14" i="17" s="1"/>
  <c r="G14" i="17" s="1"/>
  <c r="D13" i="17"/>
  <c r="F13" i="17" s="1"/>
  <c r="G13" i="17" s="1"/>
  <c r="D12" i="17"/>
  <c r="E12" i="17" s="1"/>
  <c r="D11" i="17"/>
  <c r="F11" i="17" s="1"/>
  <c r="G11" i="17" s="1"/>
  <c r="D10" i="17"/>
  <c r="F10" i="17" s="1"/>
  <c r="G10" i="17" s="1"/>
  <c r="D9" i="17"/>
  <c r="D8" i="17"/>
  <c r="F8" i="17" s="1"/>
  <c r="G8" i="17" s="1"/>
  <c r="D7" i="17"/>
  <c r="F7" i="17" s="1"/>
  <c r="G7" i="17" s="1"/>
  <c r="D6" i="17"/>
  <c r="G42" i="16"/>
  <c r="H42" i="16" s="1"/>
  <c r="G43" i="16"/>
  <c r="H43" i="16" s="1"/>
  <c r="G44" i="16"/>
  <c r="H44" i="16" s="1"/>
  <c r="G45" i="16"/>
  <c r="H45" i="16" s="1"/>
  <c r="G46" i="16"/>
  <c r="H46" i="16" s="1"/>
  <c r="G47" i="16"/>
  <c r="H47" i="16" s="1"/>
  <c r="G48" i="16"/>
  <c r="H48" i="16" s="1"/>
  <c r="G49" i="16"/>
  <c r="H49" i="16" s="1"/>
  <c r="G50" i="16"/>
  <c r="H50" i="16" s="1"/>
  <c r="G51" i="16"/>
  <c r="H51" i="16" s="1"/>
  <c r="G52" i="16"/>
  <c r="H52" i="16" s="1"/>
  <c r="G53" i="16"/>
  <c r="H53" i="16" s="1"/>
  <c r="G54" i="16"/>
  <c r="H54" i="16" s="1"/>
  <c r="G55" i="16"/>
  <c r="H55" i="16" s="1"/>
  <c r="G56" i="16"/>
  <c r="H56" i="16" s="1"/>
  <c r="G57" i="16"/>
  <c r="H57" i="16" s="1"/>
  <c r="G58" i="16"/>
  <c r="H58" i="16" s="1"/>
  <c r="G59" i="16"/>
  <c r="H59" i="16" s="1"/>
  <c r="G60" i="16"/>
  <c r="H60" i="16" s="1"/>
  <c r="G61" i="16"/>
  <c r="G62" i="16"/>
  <c r="H62" i="16" s="1"/>
  <c r="G63" i="16"/>
  <c r="H63" i="16" s="1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G15" i="16"/>
  <c r="H15" i="16" s="1"/>
  <c r="G16" i="16"/>
  <c r="H16" i="16" s="1"/>
  <c r="G17" i="16"/>
  <c r="H17" i="16" s="1"/>
  <c r="G18" i="16"/>
  <c r="H18" i="16" s="1"/>
  <c r="G19" i="16"/>
  <c r="H19" i="16" s="1"/>
  <c r="G20" i="16"/>
  <c r="H20" i="16" s="1"/>
  <c r="G21" i="16"/>
  <c r="H21" i="16" s="1"/>
  <c r="G22" i="16"/>
  <c r="H22" i="16" s="1"/>
  <c r="G23" i="16"/>
  <c r="H23" i="16" s="1"/>
  <c r="G24" i="16"/>
  <c r="H24" i="16" s="1"/>
  <c r="G25" i="16"/>
  <c r="H25" i="16" s="1"/>
  <c r="G26" i="16"/>
  <c r="H26" i="16" s="1"/>
  <c r="G27" i="16"/>
  <c r="H27" i="16" s="1"/>
  <c r="G28" i="16"/>
  <c r="H28" i="16" s="1"/>
  <c r="G29" i="16"/>
  <c r="H29" i="16" s="1"/>
  <c r="G30" i="16"/>
  <c r="H30" i="16" s="1"/>
  <c r="G31" i="16"/>
  <c r="H31" i="16" s="1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G64" i="16"/>
  <c r="H64" i="16" s="1"/>
  <c r="D64" i="16"/>
  <c r="D63" i="16"/>
  <c r="D62" i="16"/>
  <c r="H61" i="16"/>
  <c r="D61" i="16"/>
  <c r="D60" i="16"/>
  <c r="D59" i="16"/>
  <c r="D58" i="16"/>
  <c r="D57" i="16"/>
  <c r="G41" i="16"/>
  <c r="H41" i="16" s="1"/>
  <c r="D41" i="16"/>
  <c r="G40" i="16"/>
  <c r="H40" i="16" s="1"/>
  <c r="D40" i="16"/>
  <c r="G39" i="16"/>
  <c r="H39" i="16" s="1"/>
  <c r="D39" i="16"/>
  <c r="G38" i="16"/>
  <c r="H38" i="16" s="1"/>
  <c r="D38" i="16"/>
  <c r="G32" i="16"/>
  <c r="H32" i="16" s="1"/>
  <c r="D32" i="16"/>
  <c r="G14" i="16"/>
  <c r="H14" i="16" s="1"/>
  <c r="D14" i="16"/>
  <c r="G13" i="16"/>
  <c r="H13" i="16" s="1"/>
  <c r="D13" i="16"/>
  <c r="G12" i="16"/>
  <c r="H12" i="16" s="1"/>
  <c r="D12" i="16"/>
  <c r="G11" i="16"/>
  <c r="H11" i="16" s="1"/>
  <c r="D11" i="16"/>
  <c r="G10" i="16"/>
  <c r="H10" i="16" s="1"/>
  <c r="D10" i="16"/>
  <c r="G9" i="16"/>
  <c r="H9" i="16" s="1"/>
  <c r="D9" i="16"/>
  <c r="G8" i="16"/>
  <c r="H8" i="16" s="1"/>
  <c r="D8" i="16"/>
  <c r="G7" i="16"/>
  <c r="H7" i="16" s="1"/>
  <c r="D7" i="16"/>
  <c r="G6" i="16"/>
  <c r="H6" i="16" s="1"/>
  <c r="D6" i="16"/>
  <c r="E27" i="17" l="1"/>
  <c r="G59" i="17" s="1"/>
  <c r="E6" i="17"/>
  <c r="E9" i="17"/>
  <c r="F9" i="17" s="1"/>
  <c r="G9" i="17" s="1"/>
  <c r="F27" i="17"/>
  <c r="G27" i="17" s="1"/>
  <c r="G62" i="17"/>
  <c r="F30" i="17"/>
  <c r="G30" i="17" s="1"/>
  <c r="F15" i="17"/>
  <c r="G15" i="17" s="1"/>
  <c r="G47" i="17"/>
  <c r="G50" i="17"/>
  <c r="F18" i="17"/>
  <c r="G18" i="17" s="1"/>
  <c r="G44" i="17"/>
  <c r="F12" i="17"/>
  <c r="G12" i="17" s="1"/>
  <c r="G53" i="17"/>
  <c r="F21" i="17"/>
  <c r="G21" i="17" s="1"/>
  <c r="F6" i="17"/>
  <c r="G6" i="17" s="1"/>
  <c r="G38" i="17"/>
  <c r="F20" i="17"/>
  <c r="G20" i="17" s="1"/>
  <c r="G56" i="17"/>
  <c r="G41" i="17" l="1"/>
</calcChain>
</file>

<file path=xl/sharedStrings.xml><?xml version="1.0" encoding="utf-8"?>
<sst xmlns="http://schemas.openxmlformats.org/spreadsheetml/2006/main" count="208" uniqueCount="69">
  <si>
    <t>Sample</t>
  </si>
  <si>
    <t>Ranked sample</t>
  </si>
  <si>
    <t>Cq</t>
  </si>
  <si>
    <t>dCq</t>
  </si>
  <si>
    <t>Ranked dCq (high&gt;low)</t>
  </si>
  <si>
    <t>Ranked ddCq (HIGH&gt;LOW)</t>
  </si>
  <si>
    <t>Ranked fold change (2^(-ddCq))</t>
  </si>
  <si>
    <t>Cq(PDS) - Cq(otu1)</t>
  </si>
  <si>
    <t>otu1</t>
  </si>
  <si>
    <t>pds</t>
  </si>
  <si>
    <t>control</t>
  </si>
  <si>
    <t>treated</t>
  </si>
  <si>
    <t>L1-1</t>
  </si>
  <si>
    <t>L1-2</t>
  </si>
  <si>
    <t>L1-3</t>
  </si>
  <si>
    <t>L2-1</t>
  </si>
  <si>
    <t>L2-2</t>
  </si>
  <si>
    <t>L2-3</t>
  </si>
  <si>
    <t>L3-1</t>
  </si>
  <si>
    <t>L3-2</t>
  </si>
  <si>
    <t>L3-3</t>
  </si>
  <si>
    <t>M1-1</t>
  </si>
  <si>
    <t>M1-2</t>
  </si>
  <si>
    <t>M1-3</t>
  </si>
  <si>
    <t>M2-1</t>
  </si>
  <si>
    <t>M2-2</t>
  </si>
  <si>
    <t>M2-3</t>
  </si>
  <si>
    <t>M3-1</t>
  </si>
  <si>
    <t>M3-2</t>
  </si>
  <si>
    <t>M3-3</t>
  </si>
  <si>
    <t>T1-1</t>
  </si>
  <si>
    <t>T1-2</t>
  </si>
  <si>
    <t>T1-3</t>
  </si>
  <si>
    <t>T2-1</t>
  </si>
  <si>
    <t>T2-2</t>
  </si>
  <si>
    <t>T2-3</t>
  </si>
  <si>
    <t>T3-1</t>
  </si>
  <si>
    <t>T3-2</t>
  </si>
  <si>
    <t>T3-3</t>
  </si>
  <si>
    <t>L1-4</t>
  </si>
  <si>
    <t>L1-5</t>
  </si>
  <si>
    <t>L1-6</t>
  </si>
  <si>
    <t>L2-4</t>
  </si>
  <si>
    <t>L2-5</t>
  </si>
  <si>
    <t>L2-6</t>
  </si>
  <si>
    <t>L3-4</t>
  </si>
  <si>
    <t>L3-5</t>
  </si>
  <si>
    <t>L3-6</t>
  </si>
  <si>
    <t>T3-6</t>
  </si>
  <si>
    <t>M1-4</t>
  </si>
  <si>
    <t>M1-5</t>
  </si>
  <si>
    <t>M1-6</t>
  </si>
  <si>
    <t>M2-4</t>
  </si>
  <si>
    <t>M2-5</t>
  </si>
  <si>
    <t>M2-6</t>
  </si>
  <si>
    <t>M3-4</t>
  </si>
  <si>
    <t>M3-5</t>
  </si>
  <si>
    <t>M3-6</t>
  </si>
  <si>
    <t>T1-4</t>
  </si>
  <si>
    <t>T1-5</t>
  </si>
  <si>
    <t>T1-6</t>
  </si>
  <si>
    <t>T2-4</t>
  </si>
  <si>
    <t>T2-5</t>
  </si>
  <si>
    <t>T2-6</t>
  </si>
  <si>
    <t>T3-4</t>
  </si>
  <si>
    <t>T3-5</t>
  </si>
  <si>
    <t>AVERAGE dCq</t>
  </si>
  <si>
    <t>AVERAGE ddCq</t>
  </si>
  <si>
    <t>fold change (2^(-ddCq))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</si>
</sst>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;\-###0.00"/>
  </numFmts>
  <fonts count="6" x14ac:knownFonts="1">
    <font>
      <sz val="12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D96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C6E0B4"/>
        <bgColor rgb="FF000000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2" fontId="2" fillId="0" borderId="0" xfId="0" applyNumberFormat="1" applyFont="1" applyAlignment="1" applyProtection="1">
      <alignment vertical="top"/>
      <protection locked="0"/>
    </xf>
    <xf numFmtId="2" fontId="2" fillId="0" borderId="0" xfId="0" applyNumberFormat="1" applyFont="1" applyAlignment="1" applyProtection="1">
      <alignment horizontal="center" vertical="top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49" fontId="2" fillId="0" borderId="1" xfId="0" applyNumberFormat="1" applyFont="1" applyBorder="1" applyAlignment="1">
      <alignment horizontal="left" vertical="center"/>
    </xf>
    <xf numFmtId="2" fontId="3" fillId="0" borderId="2" xfId="0" applyNumberFormat="1" applyFont="1" applyBorder="1" applyAlignment="1" applyProtection="1">
      <alignment horizontal="center" vertical="top"/>
      <protection locked="0"/>
    </xf>
    <xf numFmtId="0" fontId="2" fillId="0" borderId="2" xfId="0" applyFont="1" applyBorder="1" applyAlignment="1" applyProtection="1">
      <alignment horizontal="left" vertical="top"/>
      <protection locked="0"/>
    </xf>
    <xf numFmtId="2" fontId="2" fillId="0" borderId="2" xfId="0" applyNumberFormat="1" applyFont="1" applyBorder="1" applyAlignment="1" applyProtection="1">
      <alignment horizontal="center" vertical="top"/>
      <protection locked="0"/>
    </xf>
    <xf numFmtId="0" fontId="2" fillId="0" borderId="2" xfId="0" applyFont="1" applyBorder="1" applyAlignment="1" applyProtection="1">
      <alignment horizontal="center" vertical="top"/>
      <protection locked="0"/>
    </xf>
    <xf numFmtId="2" fontId="2" fillId="0" borderId="3" xfId="0" applyNumberFormat="1" applyFont="1" applyBorder="1" applyAlignment="1" applyProtection="1">
      <alignment horizontal="center" vertical="top"/>
      <protection locked="0"/>
    </xf>
    <xf numFmtId="2" fontId="2" fillId="0" borderId="0" xfId="0" applyNumberFormat="1" applyFont="1" applyAlignment="1">
      <alignment vertical="center"/>
    </xf>
    <xf numFmtId="2" fontId="2" fillId="0" borderId="6" xfId="0" applyNumberFormat="1" applyFont="1" applyBorder="1" applyAlignment="1">
      <alignment vertical="center"/>
    </xf>
    <xf numFmtId="2" fontId="3" fillId="0" borderId="0" xfId="0" applyNumberFormat="1" applyFont="1" applyAlignment="1">
      <alignment vertical="center"/>
    </xf>
    <xf numFmtId="0" fontId="4" fillId="0" borderId="0" xfId="0" applyFont="1"/>
    <xf numFmtId="2" fontId="4" fillId="0" borderId="0" xfId="0" applyNumberFormat="1" applyFont="1"/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/>
    <xf numFmtId="2" fontId="4" fillId="5" borderId="5" xfId="0" applyNumberFormat="1" applyFont="1" applyFill="1" applyBorder="1" applyAlignment="1">
      <alignment horizontal="center"/>
    </xf>
    <xf numFmtId="2" fontId="4" fillId="0" borderId="6" xfId="0" applyNumberFormat="1" applyFont="1" applyBorder="1" applyAlignment="1">
      <alignment horizontal="center"/>
    </xf>
    <xf numFmtId="0" fontId="4" fillId="2" borderId="6" xfId="0" applyFont="1" applyFill="1" applyBorder="1"/>
    <xf numFmtId="2" fontId="4" fillId="3" borderId="6" xfId="0" applyNumberFormat="1" applyFont="1" applyFill="1" applyBorder="1" applyAlignment="1">
      <alignment horizontal="center"/>
    </xf>
    <xf numFmtId="2" fontId="4" fillId="4" borderId="6" xfId="0" applyNumberFormat="1" applyFont="1" applyFill="1" applyBorder="1" applyAlignment="1">
      <alignment horizontal="center"/>
    </xf>
    <xf numFmtId="0" fontId="5" fillId="0" borderId="0" xfId="0" applyFont="1"/>
    <xf numFmtId="2" fontId="5" fillId="0" borderId="0" xfId="0" applyNumberFormat="1" applyFont="1" applyAlignment="1">
      <alignment horizontal="center"/>
    </xf>
    <xf numFmtId="0" fontId="3" fillId="2" borderId="9" xfId="0" applyFont="1" applyFill="1" applyBorder="1" applyAlignment="1" applyProtection="1">
      <alignment horizontal="left" vertical="top"/>
      <protection locked="0"/>
    </xf>
    <xf numFmtId="0" fontId="3" fillId="3" borderId="9" xfId="0" applyFont="1" applyFill="1" applyBorder="1" applyAlignment="1" applyProtection="1">
      <alignment horizontal="center" vertical="top"/>
      <protection locked="0"/>
    </xf>
    <xf numFmtId="0" fontId="4" fillId="0" borderId="7" xfId="0" applyFont="1" applyBorder="1"/>
    <xf numFmtId="2" fontId="4" fillId="0" borderId="6" xfId="0" applyNumberFormat="1" applyFont="1" applyBorder="1"/>
    <xf numFmtId="2" fontId="4" fillId="5" borderId="8" xfId="0" applyNumberFormat="1" applyFont="1" applyFill="1" applyBorder="1" applyAlignment="1">
      <alignment horizontal="center"/>
    </xf>
    <xf numFmtId="0" fontId="4" fillId="2" borderId="0" xfId="0" applyFont="1" applyFill="1"/>
    <xf numFmtId="2" fontId="4" fillId="3" borderId="0" xfId="0" applyNumberFormat="1" applyFont="1" applyFill="1" applyAlignment="1">
      <alignment horizontal="center"/>
    </xf>
    <xf numFmtId="2" fontId="4" fillId="4" borderId="0" xfId="0" applyNumberFormat="1" applyFont="1" applyFill="1" applyAlignment="1">
      <alignment horizontal="center"/>
    </xf>
    <xf numFmtId="49" fontId="3" fillId="0" borderId="10" xfId="0" applyNumberFormat="1" applyFont="1" applyBorder="1" applyAlignment="1">
      <alignment horizontal="left" vertical="center"/>
    </xf>
    <xf numFmtId="2" fontId="3" fillId="0" borderId="9" xfId="0" applyNumberFormat="1" applyFont="1" applyBorder="1" applyAlignment="1" applyProtection="1">
      <alignment horizontal="center" vertical="top"/>
      <protection locked="0"/>
    </xf>
    <xf numFmtId="2" fontId="3" fillId="4" borderId="9" xfId="0" applyNumberFormat="1" applyFont="1" applyFill="1" applyBorder="1" applyAlignment="1" applyProtection="1">
      <alignment horizontal="center" vertical="top"/>
      <protection locked="0"/>
    </xf>
    <xf numFmtId="2" fontId="3" fillId="5" borderId="11" xfId="0" applyNumberFormat="1" applyFont="1" applyFill="1" applyBorder="1" applyAlignment="1" applyProtection="1">
      <alignment horizontal="center" vertical="top"/>
      <protection locked="0"/>
    </xf>
    <xf numFmtId="0" fontId="4" fillId="0" borderId="1" xfId="0" applyFont="1" applyBorder="1"/>
    <xf numFmtId="2" fontId="2" fillId="0" borderId="2" xfId="0" applyNumberFormat="1" applyFont="1" applyBorder="1" applyAlignment="1">
      <alignment vertical="center"/>
    </xf>
    <xf numFmtId="2" fontId="4" fillId="0" borderId="2" xfId="0" applyNumberFormat="1" applyFont="1" applyBorder="1" applyAlignment="1">
      <alignment horizontal="center"/>
    </xf>
    <xf numFmtId="0" fontId="4" fillId="2" borderId="2" xfId="0" applyFont="1" applyFill="1" applyBorder="1"/>
    <xf numFmtId="2" fontId="4" fillId="3" borderId="2" xfId="0" applyNumberFormat="1" applyFont="1" applyFill="1" applyBorder="1" applyAlignment="1">
      <alignment horizontal="center"/>
    </xf>
    <xf numFmtId="2" fontId="4" fillId="4" borderId="2" xfId="0" applyNumberFormat="1" applyFont="1" applyFill="1" applyBorder="1" applyAlignment="1">
      <alignment horizontal="center"/>
    </xf>
    <xf numFmtId="2" fontId="4" fillId="5" borderId="3" xfId="0" applyNumberFormat="1" applyFont="1" applyFill="1" applyBorder="1" applyAlignment="1">
      <alignment horizontal="center"/>
    </xf>
    <xf numFmtId="164" fontId="2" fillId="0" borderId="0" xfId="0" applyNumberFormat="1" applyFont="1" applyAlignment="1">
      <alignment vertical="center"/>
    </xf>
    <xf numFmtId="0" fontId="4" fillId="0" borderId="12" xfId="0" applyFont="1" applyBorder="1"/>
    <xf numFmtId="2" fontId="2" fillId="0" borderId="13" xfId="0" applyNumberFormat="1" applyFont="1" applyBorder="1" applyAlignment="1">
      <alignment vertical="center"/>
    </xf>
    <xf numFmtId="2" fontId="4" fillId="0" borderId="13" xfId="0" applyNumberFormat="1" applyFont="1" applyBorder="1" applyAlignment="1">
      <alignment horizontal="center"/>
    </xf>
    <xf numFmtId="0" fontId="4" fillId="2" borderId="13" xfId="0" applyFont="1" applyFill="1" applyBorder="1"/>
    <xf numFmtId="2" fontId="4" fillId="3" borderId="13" xfId="0" applyNumberFormat="1" applyFont="1" applyFill="1" applyBorder="1" applyAlignment="1">
      <alignment horizontal="center"/>
    </xf>
    <xf numFmtId="2" fontId="4" fillId="4" borderId="13" xfId="0" applyNumberFormat="1" applyFont="1" applyFill="1" applyBorder="1" applyAlignment="1">
      <alignment horizontal="center"/>
    </xf>
    <xf numFmtId="2" fontId="4" fillId="5" borderId="14" xfId="0" applyNumberFormat="1" applyFont="1" applyFill="1" applyBorder="1" applyAlignment="1">
      <alignment horizontal="center"/>
    </xf>
    <xf numFmtId="0" fontId="0" fillId="0" borderId="13" xfId="0" applyBorder="1"/>
    <xf numFmtId="164" fontId="2" fillId="0" borderId="13" xfId="0" applyNumberFormat="1" applyFont="1" applyBorder="1" applyAlignment="1">
      <alignment vertical="center"/>
    </xf>
    <xf numFmtId="2" fontId="4" fillId="0" borderId="13" xfId="0" applyNumberFormat="1" applyFont="1" applyBorder="1"/>
    <xf numFmtId="0" fontId="4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671F6-4B10-46B0-B40B-58FCA24F2A49}">
  <dimension ref="A1:H66"/>
  <sheetViews>
    <sheetView tabSelected="1" topLeftCell="A42" workbookViewId="0">
      <selection activeCell="H63" sqref="H63"/>
    </sheetView>
  </sheetViews>
  <sheetFormatPr defaultColWidth="11" defaultRowHeight="15.6" x14ac:dyDescent="0.3"/>
  <cols>
    <col min="1" max="1" width="13.5" customWidth="1"/>
    <col min="2" max="2" width="12.3984375" customWidth="1"/>
    <col min="4" max="4" width="19.09765625" bestFit="1" customWidth="1"/>
    <col min="5" max="5" width="19.5" customWidth="1"/>
    <col min="6" max="6" width="24.5" customWidth="1"/>
    <col min="7" max="7" width="34" customWidth="1"/>
    <col min="8" max="8" width="31.09765625" bestFit="1" customWidth="1"/>
    <col min="11" max="11" width="17.59765625" bestFit="1" customWidth="1"/>
  </cols>
  <sheetData>
    <row r="1" spans="1:8" x14ac:dyDescent="0.3">
      <c r="A1" s="15"/>
      <c r="B1" s="16"/>
      <c r="C1" s="16"/>
      <c r="D1" s="17"/>
      <c r="E1" s="15"/>
      <c r="F1" s="18"/>
      <c r="G1" s="17"/>
      <c r="H1" s="17"/>
    </row>
    <row r="2" spans="1:8" ht="17.399999999999999" x14ac:dyDescent="0.3">
      <c r="A2" s="1"/>
      <c r="B2" s="1"/>
      <c r="C2" s="16"/>
      <c r="D2" s="17"/>
      <c r="E2" s="15"/>
      <c r="F2" s="18"/>
      <c r="G2" s="17"/>
      <c r="H2" s="17"/>
    </row>
    <row r="3" spans="1:8" ht="16.2" thickBot="1" x14ac:dyDescent="0.35">
      <c r="A3" s="15"/>
      <c r="B3" s="2"/>
      <c r="C3" s="2"/>
      <c r="D3" s="3"/>
      <c r="E3" s="4"/>
      <c r="F3" s="5"/>
      <c r="G3" s="3"/>
      <c r="H3" s="3"/>
    </row>
    <row r="4" spans="1:8" x14ac:dyDescent="0.3">
      <c r="A4" s="6" t="s">
        <v>10</v>
      </c>
      <c r="B4" s="7" t="s">
        <v>9</v>
      </c>
      <c r="C4" s="7" t="s">
        <v>8</v>
      </c>
      <c r="D4" s="7" t="s">
        <v>7</v>
      </c>
      <c r="E4" s="8"/>
      <c r="F4" s="10"/>
      <c r="G4" s="9"/>
      <c r="H4" s="11"/>
    </row>
    <row r="5" spans="1:8" ht="16.2" thickBot="1" x14ac:dyDescent="0.35">
      <c r="A5" s="35" t="s">
        <v>0</v>
      </c>
      <c r="B5" s="36" t="s">
        <v>2</v>
      </c>
      <c r="C5" s="36" t="s">
        <v>2</v>
      </c>
      <c r="D5" s="36" t="s">
        <v>3</v>
      </c>
      <c r="E5" s="27" t="s">
        <v>1</v>
      </c>
      <c r="F5" s="28" t="s">
        <v>4</v>
      </c>
      <c r="G5" s="37" t="s">
        <v>5</v>
      </c>
      <c r="H5" s="38" t="s">
        <v>6</v>
      </c>
    </row>
    <row r="6" spans="1:8" x14ac:dyDescent="0.3">
      <c r="A6" s="39" t="s">
        <v>12</v>
      </c>
      <c r="B6" s="40">
        <v>23.306765266839001</v>
      </c>
      <c r="C6" s="40">
        <v>22.487547877388103</v>
      </c>
      <c r="D6" s="41">
        <f>B6-C6</f>
        <v>0.81921738945089828</v>
      </c>
      <c r="E6" s="42" t="s">
        <v>12</v>
      </c>
      <c r="F6" s="43">
        <v>0.81921738945089828</v>
      </c>
      <c r="G6" s="44">
        <f>F6-F6</f>
        <v>0</v>
      </c>
      <c r="H6" s="45">
        <f t="shared" ref="H6:H32" si="0">(2^(-G6))</f>
        <v>1</v>
      </c>
    </row>
    <row r="7" spans="1:8" x14ac:dyDescent="0.3">
      <c r="A7" s="19" t="s">
        <v>13</v>
      </c>
      <c r="B7" s="12">
        <v>22.38716402</v>
      </c>
      <c r="C7" s="12">
        <v>22.0148318</v>
      </c>
      <c r="D7" s="17">
        <f t="shared" ref="D7:D32" si="1">B7-C7</f>
        <v>0.37233222000000055</v>
      </c>
      <c r="E7" s="32" t="s">
        <v>14</v>
      </c>
      <c r="F7" s="33">
        <v>0.48012164000000013</v>
      </c>
      <c r="G7" s="34">
        <f t="shared" ref="G7:G32" si="2">F7-F7</f>
        <v>0</v>
      </c>
      <c r="H7" s="20">
        <f t="shared" si="0"/>
        <v>1</v>
      </c>
    </row>
    <row r="8" spans="1:8" s="54" customFormat="1" x14ac:dyDescent="0.3">
      <c r="A8" s="47" t="s">
        <v>14</v>
      </c>
      <c r="B8" s="48">
        <v>22.40942686</v>
      </c>
      <c r="C8" s="48">
        <v>21.92930522</v>
      </c>
      <c r="D8" s="49">
        <f t="shared" si="1"/>
        <v>0.48012164000000013</v>
      </c>
      <c r="E8" s="50" t="s">
        <v>13</v>
      </c>
      <c r="F8" s="51">
        <v>0.37233222000000055</v>
      </c>
      <c r="G8" s="52">
        <f t="shared" si="2"/>
        <v>0</v>
      </c>
      <c r="H8" s="53">
        <f t="shared" si="0"/>
        <v>1</v>
      </c>
    </row>
    <row r="9" spans="1:8" x14ac:dyDescent="0.3">
      <c r="A9" s="19" t="s">
        <v>15</v>
      </c>
      <c r="B9" s="46">
        <v>24.8770226340215</v>
      </c>
      <c r="C9" s="16">
        <v>24.283704001572598</v>
      </c>
      <c r="D9" s="17">
        <f t="shared" si="1"/>
        <v>0.59331863244890215</v>
      </c>
      <c r="E9" s="32" t="s">
        <v>16</v>
      </c>
      <c r="F9" s="33">
        <v>0.70311442768734977</v>
      </c>
      <c r="G9" s="34">
        <f t="shared" si="2"/>
        <v>0</v>
      </c>
      <c r="H9" s="20">
        <f t="shared" si="0"/>
        <v>1</v>
      </c>
    </row>
    <row r="10" spans="1:8" x14ac:dyDescent="0.3">
      <c r="A10" s="19" t="s">
        <v>16</v>
      </c>
      <c r="B10" s="46">
        <v>22.845784950180999</v>
      </c>
      <c r="C10" s="16">
        <v>22.142670522493649</v>
      </c>
      <c r="D10" s="17">
        <f t="shared" si="1"/>
        <v>0.70311442768734977</v>
      </c>
      <c r="E10" s="32" t="s">
        <v>15</v>
      </c>
      <c r="F10" s="33">
        <v>0.59331863244890215</v>
      </c>
      <c r="G10" s="34">
        <f t="shared" si="2"/>
        <v>0</v>
      </c>
      <c r="H10" s="20">
        <f t="shared" si="0"/>
        <v>1</v>
      </c>
    </row>
    <row r="11" spans="1:8" s="54" customFormat="1" x14ac:dyDescent="0.3">
      <c r="A11" s="47" t="s">
        <v>17</v>
      </c>
      <c r="B11" s="55">
        <v>26.967640575526801</v>
      </c>
      <c r="C11" s="56">
        <v>27.236522402680599</v>
      </c>
      <c r="D11" s="49">
        <f t="shared" si="1"/>
        <v>-0.26888182715379827</v>
      </c>
      <c r="E11" s="50" t="s">
        <v>17</v>
      </c>
      <c r="F11" s="51">
        <v>-0.26888182715379827</v>
      </c>
      <c r="G11" s="52">
        <f t="shared" si="2"/>
        <v>0</v>
      </c>
      <c r="H11" s="53">
        <f t="shared" si="0"/>
        <v>1</v>
      </c>
    </row>
    <row r="12" spans="1:8" x14ac:dyDescent="0.3">
      <c r="A12" s="19" t="s">
        <v>18</v>
      </c>
      <c r="B12" s="46">
        <v>22.140965526625902</v>
      </c>
      <c r="C12" s="16">
        <v>21.676707889816001</v>
      </c>
      <c r="D12" s="17">
        <f t="shared" si="1"/>
        <v>0.46425763680990073</v>
      </c>
      <c r="E12" s="32" t="s">
        <v>18</v>
      </c>
      <c r="F12" s="33">
        <v>0.46425763680990073</v>
      </c>
      <c r="G12" s="34">
        <f t="shared" si="2"/>
        <v>0</v>
      </c>
      <c r="H12" s="20">
        <f t="shared" si="0"/>
        <v>1</v>
      </c>
    </row>
    <row r="13" spans="1:8" x14ac:dyDescent="0.3">
      <c r="A13" s="19" t="s">
        <v>19</v>
      </c>
      <c r="B13" s="12">
        <v>21.239101077596601</v>
      </c>
      <c r="C13" s="12">
        <v>22.0434441317412</v>
      </c>
      <c r="D13" s="17">
        <f>B13-C13</f>
        <v>-0.80434305414459928</v>
      </c>
      <c r="E13" s="32" t="s">
        <v>19</v>
      </c>
      <c r="F13" s="33">
        <v>-0.80434305414459928</v>
      </c>
      <c r="G13" s="34">
        <f t="shared" si="2"/>
        <v>0</v>
      </c>
      <c r="H13" s="20">
        <f t="shared" si="0"/>
        <v>1</v>
      </c>
    </row>
    <row r="14" spans="1:8" s="54" customFormat="1" x14ac:dyDescent="0.3">
      <c r="A14" s="47" t="s">
        <v>20</v>
      </c>
      <c r="B14" s="48">
        <v>21.685610186448649</v>
      </c>
      <c r="C14" s="48">
        <v>23.864523819752598</v>
      </c>
      <c r="D14" s="49">
        <f t="shared" si="1"/>
        <v>-2.1789136333039494</v>
      </c>
      <c r="E14" s="50" t="s">
        <v>20</v>
      </c>
      <c r="F14" s="51">
        <v>-2.1789136333039494</v>
      </c>
      <c r="G14" s="52">
        <f t="shared" si="2"/>
        <v>0</v>
      </c>
      <c r="H14" s="53">
        <f t="shared" si="0"/>
        <v>1</v>
      </c>
    </row>
    <row r="15" spans="1:8" x14ac:dyDescent="0.3">
      <c r="A15" s="19" t="s">
        <v>21</v>
      </c>
      <c r="B15" s="12">
        <v>22.417858190241599</v>
      </c>
      <c r="C15" s="12">
        <v>20.819815871322149</v>
      </c>
      <c r="D15" s="17">
        <f t="shared" si="1"/>
        <v>1.5980423189194504</v>
      </c>
      <c r="E15" s="32" t="s">
        <v>21</v>
      </c>
      <c r="F15" s="33">
        <v>1.5980423189194504</v>
      </c>
      <c r="G15" s="34">
        <f t="shared" si="2"/>
        <v>0</v>
      </c>
      <c r="H15" s="20">
        <f t="shared" si="0"/>
        <v>1</v>
      </c>
    </row>
    <row r="16" spans="1:8" x14ac:dyDescent="0.3">
      <c r="A16" s="19" t="s">
        <v>22</v>
      </c>
      <c r="B16" s="12">
        <v>22.847207959999999</v>
      </c>
      <c r="C16" s="12">
        <v>22.57273614</v>
      </c>
      <c r="D16" s="17">
        <f t="shared" si="1"/>
        <v>0.2744718199999987</v>
      </c>
      <c r="E16" s="32" t="s">
        <v>23</v>
      </c>
      <c r="F16" s="33">
        <v>0.68498755999999972</v>
      </c>
      <c r="G16" s="34">
        <f t="shared" si="2"/>
        <v>0</v>
      </c>
      <c r="H16" s="20">
        <f t="shared" si="0"/>
        <v>1</v>
      </c>
    </row>
    <row r="17" spans="1:8" s="54" customFormat="1" x14ac:dyDescent="0.3">
      <c r="A17" s="47" t="s">
        <v>23</v>
      </c>
      <c r="B17" s="48">
        <v>21.082898140000001</v>
      </c>
      <c r="C17" s="48">
        <v>20.397910580000001</v>
      </c>
      <c r="D17" s="49">
        <f t="shared" si="1"/>
        <v>0.68498755999999972</v>
      </c>
      <c r="E17" s="50" t="s">
        <v>22</v>
      </c>
      <c r="F17" s="51">
        <v>0.2744718199999987</v>
      </c>
      <c r="G17" s="52">
        <f t="shared" si="2"/>
        <v>0</v>
      </c>
      <c r="H17" s="53">
        <f t="shared" si="0"/>
        <v>1</v>
      </c>
    </row>
    <row r="18" spans="1:8" x14ac:dyDescent="0.3">
      <c r="A18" s="19" t="s">
        <v>24</v>
      </c>
      <c r="B18" s="12">
        <v>22.8573940265365</v>
      </c>
      <c r="C18" s="12">
        <v>21.29097786639355</v>
      </c>
      <c r="D18" s="17">
        <f t="shared" si="1"/>
        <v>1.5664161601429498</v>
      </c>
      <c r="E18" s="32" t="s">
        <v>24</v>
      </c>
      <c r="F18" s="33">
        <v>1.5664161601429498</v>
      </c>
      <c r="G18" s="34">
        <f t="shared" si="2"/>
        <v>0</v>
      </c>
      <c r="H18" s="20">
        <f t="shared" si="0"/>
        <v>1</v>
      </c>
    </row>
    <row r="19" spans="1:8" x14ac:dyDescent="0.3">
      <c r="A19" s="19" t="s">
        <v>25</v>
      </c>
      <c r="B19" s="12">
        <v>21.683768581995899</v>
      </c>
      <c r="C19" s="12">
        <v>21.473422175578399</v>
      </c>
      <c r="D19" s="17">
        <f t="shared" si="1"/>
        <v>0.21034640641750002</v>
      </c>
      <c r="E19" s="32" t="s">
        <v>26</v>
      </c>
      <c r="F19" s="33">
        <v>0.94276601322619769</v>
      </c>
      <c r="G19" s="34">
        <f t="shared" si="2"/>
        <v>0</v>
      </c>
      <c r="H19" s="20">
        <f t="shared" si="0"/>
        <v>1</v>
      </c>
    </row>
    <row r="20" spans="1:8" s="54" customFormat="1" x14ac:dyDescent="0.3">
      <c r="A20" s="47" t="s">
        <v>26</v>
      </c>
      <c r="B20" s="48">
        <v>22.367877401643099</v>
      </c>
      <c r="C20" s="48">
        <v>21.425111388416902</v>
      </c>
      <c r="D20" s="49">
        <f t="shared" si="1"/>
        <v>0.94276601322619769</v>
      </c>
      <c r="E20" s="50" t="s">
        <v>25</v>
      </c>
      <c r="F20" s="51">
        <v>0.21034640641750002</v>
      </c>
      <c r="G20" s="52">
        <f t="shared" si="2"/>
        <v>0</v>
      </c>
      <c r="H20" s="53">
        <f t="shared" si="0"/>
        <v>1</v>
      </c>
    </row>
    <row r="21" spans="1:8" x14ac:dyDescent="0.3">
      <c r="A21" s="19" t="s">
        <v>27</v>
      </c>
      <c r="B21" s="12">
        <v>22.226897332421501</v>
      </c>
      <c r="C21" s="12">
        <v>21.132398683288351</v>
      </c>
      <c r="D21" s="17">
        <f t="shared" si="1"/>
        <v>1.0944986491331505</v>
      </c>
      <c r="E21" s="32" t="s">
        <v>27</v>
      </c>
      <c r="F21" s="33">
        <v>1.0944986491331505</v>
      </c>
      <c r="G21" s="34">
        <f t="shared" si="2"/>
        <v>0</v>
      </c>
      <c r="H21" s="20">
        <f t="shared" si="0"/>
        <v>1</v>
      </c>
    </row>
    <row r="22" spans="1:8" x14ac:dyDescent="0.3">
      <c r="A22" s="19" t="s">
        <v>28</v>
      </c>
      <c r="B22" s="12">
        <v>20.867760064222299</v>
      </c>
      <c r="C22" s="12">
        <v>22.088669785866198</v>
      </c>
      <c r="D22" s="17">
        <f t="shared" si="1"/>
        <v>-1.2209097216438991</v>
      </c>
      <c r="E22" s="32" t="s">
        <v>29</v>
      </c>
      <c r="F22" s="33">
        <v>-0.93013221662940282</v>
      </c>
      <c r="G22" s="34">
        <f t="shared" si="2"/>
        <v>0</v>
      </c>
      <c r="H22" s="20">
        <f t="shared" si="0"/>
        <v>1</v>
      </c>
    </row>
    <row r="23" spans="1:8" s="54" customFormat="1" x14ac:dyDescent="0.3">
      <c r="A23" s="47" t="s">
        <v>29</v>
      </c>
      <c r="B23" s="48">
        <v>20.243749251664099</v>
      </c>
      <c r="C23" s="48">
        <v>21.173881468293501</v>
      </c>
      <c r="D23" s="49">
        <f t="shared" si="1"/>
        <v>-0.93013221662940282</v>
      </c>
      <c r="E23" s="50" t="s">
        <v>28</v>
      </c>
      <c r="F23" s="51">
        <v>-1.2209097216438991</v>
      </c>
      <c r="G23" s="52">
        <f t="shared" si="2"/>
        <v>0</v>
      </c>
      <c r="H23" s="53">
        <f t="shared" si="0"/>
        <v>1</v>
      </c>
    </row>
    <row r="24" spans="1:8" x14ac:dyDescent="0.3">
      <c r="A24" s="19" t="s">
        <v>30</v>
      </c>
      <c r="B24" s="12">
        <v>21.236725489418699</v>
      </c>
      <c r="C24" s="12">
        <v>21.030935047785349</v>
      </c>
      <c r="D24" s="17">
        <f t="shared" si="1"/>
        <v>0.2057904416333507</v>
      </c>
      <c r="E24" s="32" t="s">
        <v>31</v>
      </c>
      <c r="F24" s="33">
        <v>0.97843436000000139</v>
      </c>
      <c r="G24" s="34">
        <f t="shared" si="2"/>
        <v>0</v>
      </c>
      <c r="H24" s="20">
        <f t="shared" si="0"/>
        <v>1</v>
      </c>
    </row>
    <row r="25" spans="1:8" x14ac:dyDescent="0.3">
      <c r="A25" s="19" t="s">
        <v>31</v>
      </c>
      <c r="B25" s="12">
        <v>22.734767590000001</v>
      </c>
      <c r="C25" s="12">
        <v>21.756333229999999</v>
      </c>
      <c r="D25" s="17">
        <f t="shared" si="1"/>
        <v>0.97843436000000139</v>
      </c>
      <c r="E25" s="32" t="s">
        <v>32</v>
      </c>
      <c r="F25" s="33">
        <v>0.36551611999999878</v>
      </c>
      <c r="G25" s="34">
        <f t="shared" si="2"/>
        <v>0</v>
      </c>
      <c r="H25" s="20">
        <f t="shared" si="0"/>
        <v>1</v>
      </c>
    </row>
    <row r="26" spans="1:8" s="54" customFormat="1" x14ac:dyDescent="0.3">
      <c r="A26" s="47" t="s">
        <v>32</v>
      </c>
      <c r="B26" s="48">
        <v>21.346341809999998</v>
      </c>
      <c r="C26" s="48">
        <v>20.98082569</v>
      </c>
      <c r="D26" s="49">
        <f t="shared" si="1"/>
        <v>0.36551611999999878</v>
      </c>
      <c r="E26" s="50" t="s">
        <v>30</v>
      </c>
      <c r="F26" s="51">
        <v>0.2057904416333507</v>
      </c>
      <c r="G26" s="52">
        <f t="shared" si="2"/>
        <v>0</v>
      </c>
      <c r="H26" s="53">
        <f t="shared" si="0"/>
        <v>1</v>
      </c>
    </row>
    <row r="27" spans="1:8" x14ac:dyDescent="0.3">
      <c r="A27" s="19" t="s">
        <v>33</v>
      </c>
      <c r="B27" s="12">
        <v>21.319567877593901</v>
      </c>
      <c r="C27" s="12">
        <v>20.344816753362551</v>
      </c>
      <c r="D27" s="17">
        <f t="shared" si="1"/>
        <v>0.97475112423135002</v>
      </c>
      <c r="E27" s="32" t="s">
        <v>33</v>
      </c>
      <c r="F27" s="33">
        <v>0.97475112423135002</v>
      </c>
      <c r="G27" s="34">
        <f t="shared" si="2"/>
        <v>0</v>
      </c>
      <c r="H27" s="20">
        <f t="shared" si="0"/>
        <v>1</v>
      </c>
    </row>
    <row r="28" spans="1:8" x14ac:dyDescent="0.3">
      <c r="A28" s="19" t="s">
        <v>34</v>
      </c>
      <c r="B28" s="12">
        <v>21.678849782243301</v>
      </c>
      <c r="C28" s="12">
        <v>23.565743183253598</v>
      </c>
      <c r="D28" s="17">
        <f t="shared" si="1"/>
        <v>-1.8868934010102976</v>
      </c>
      <c r="E28" s="32" t="s">
        <v>35</v>
      </c>
      <c r="F28" s="33">
        <v>-1.359588299499201</v>
      </c>
      <c r="G28" s="34">
        <f t="shared" si="2"/>
        <v>0</v>
      </c>
      <c r="H28" s="20">
        <f t="shared" si="0"/>
        <v>1</v>
      </c>
    </row>
    <row r="29" spans="1:8" s="54" customFormat="1" x14ac:dyDescent="0.3">
      <c r="A29" s="47" t="s">
        <v>35</v>
      </c>
      <c r="B29" s="48">
        <v>20.0560015104173</v>
      </c>
      <c r="C29" s="48">
        <v>21.415589809916501</v>
      </c>
      <c r="D29" s="49">
        <f t="shared" si="1"/>
        <v>-1.359588299499201</v>
      </c>
      <c r="E29" s="50" t="s">
        <v>34</v>
      </c>
      <c r="F29" s="51">
        <v>-1.8868934010102976</v>
      </c>
      <c r="G29" s="52">
        <f t="shared" si="2"/>
        <v>0</v>
      </c>
      <c r="H29" s="53">
        <f t="shared" si="0"/>
        <v>1</v>
      </c>
    </row>
    <row r="30" spans="1:8" x14ac:dyDescent="0.3">
      <c r="A30" s="19" t="s">
        <v>36</v>
      </c>
      <c r="B30" s="12">
        <v>21.4673918434287</v>
      </c>
      <c r="C30" s="12">
        <v>21.241801744356099</v>
      </c>
      <c r="D30" s="17">
        <f t="shared" si="1"/>
        <v>0.22559009907260119</v>
      </c>
      <c r="E30" s="32" t="s">
        <v>36</v>
      </c>
      <c r="F30" s="33">
        <v>0.22559009907260119</v>
      </c>
      <c r="G30" s="34">
        <f t="shared" si="2"/>
        <v>0</v>
      </c>
      <c r="H30" s="20">
        <f t="shared" si="0"/>
        <v>1</v>
      </c>
    </row>
    <row r="31" spans="1:8" x14ac:dyDescent="0.3">
      <c r="A31" s="19" t="s">
        <v>37</v>
      </c>
      <c r="B31" s="12">
        <v>21.3151361584192</v>
      </c>
      <c r="C31" s="12">
        <v>22.164710390561499</v>
      </c>
      <c r="D31" s="17">
        <f t="shared" si="1"/>
        <v>-0.84957423214229877</v>
      </c>
      <c r="E31" s="32" t="s">
        <v>37</v>
      </c>
      <c r="F31" s="33">
        <v>-0.84957423214229877</v>
      </c>
      <c r="G31" s="34">
        <f t="shared" si="2"/>
        <v>0</v>
      </c>
      <c r="H31" s="20">
        <f t="shared" si="0"/>
        <v>1</v>
      </c>
    </row>
    <row r="32" spans="1:8" ht="16.2" thickBot="1" x14ac:dyDescent="0.35">
      <c r="A32" s="29" t="s">
        <v>38</v>
      </c>
      <c r="B32" s="13">
        <v>20.837181751361801</v>
      </c>
      <c r="C32" s="13">
        <v>22.467253915169699</v>
      </c>
      <c r="D32" s="21">
        <f t="shared" si="1"/>
        <v>-1.630072163807899</v>
      </c>
      <c r="E32" s="22" t="s">
        <v>38</v>
      </c>
      <c r="F32" s="23">
        <v>-1.630072163807899</v>
      </c>
      <c r="G32" s="24">
        <f t="shared" si="2"/>
        <v>0</v>
      </c>
      <c r="H32" s="31">
        <f t="shared" si="0"/>
        <v>1</v>
      </c>
    </row>
    <row r="33" spans="1:8" x14ac:dyDescent="0.3">
      <c r="A33" s="25"/>
      <c r="B33" s="14"/>
      <c r="C33" s="14"/>
      <c r="D33" s="26"/>
      <c r="E33" s="15"/>
      <c r="F33" s="18"/>
      <c r="G33" s="17"/>
      <c r="H33" s="17"/>
    </row>
    <row r="34" spans="1:8" x14ac:dyDescent="0.3">
      <c r="A34" s="15"/>
      <c r="B34" s="16"/>
      <c r="C34" s="16"/>
      <c r="D34" s="17"/>
      <c r="E34" s="15"/>
      <c r="F34" s="18"/>
      <c r="G34" s="17"/>
      <c r="H34" s="17"/>
    </row>
    <row r="35" spans="1:8" ht="16.2" thickBot="1" x14ac:dyDescent="0.35">
      <c r="A35" s="15"/>
      <c r="B35" s="16"/>
      <c r="C35" s="16"/>
      <c r="D35" s="17"/>
      <c r="E35" s="15"/>
      <c r="F35" s="18"/>
      <c r="G35" s="17"/>
      <c r="H35" s="17"/>
    </row>
    <row r="36" spans="1:8" x14ac:dyDescent="0.3">
      <c r="A36" s="6" t="s">
        <v>11</v>
      </c>
      <c r="B36" s="7" t="s">
        <v>9</v>
      </c>
      <c r="C36" s="7" t="s">
        <v>8</v>
      </c>
      <c r="D36" s="7" t="s">
        <v>7</v>
      </c>
      <c r="E36" s="8"/>
      <c r="F36" s="10"/>
      <c r="G36" s="9"/>
      <c r="H36" s="11"/>
    </row>
    <row r="37" spans="1:8" ht="16.2" thickBot="1" x14ac:dyDescent="0.35">
      <c r="A37" s="35" t="s">
        <v>0</v>
      </c>
      <c r="B37" s="36" t="s">
        <v>2</v>
      </c>
      <c r="C37" s="36" t="s">
        <v>2</v>
      </c>
      <c r="D37" s="36" t="s">
        <v>3</v>
      </c>
      <c r="E37" s="27" t="s">
        <v>1</v>
      </c>
      <c r="F37" s="28" t="s">
        <v>4</v>
      </c>
      <c r="G37" s="37" t="s">
        <v>5</v>
      </c>
      <c r="H37" s="38" t="s">
        <v>6</v>
      </c>
    </row>
    <row r="38" spans="1:8" x14ac:dyDescent="0.3">
      <c r="A38" s="39" t="s">
        <v>39</v>
      </c>
      <c r="B38" s="40">
        <v>23.358142352458799</v>
      </c>
      <c r="C38" s="40">
        <v>23.047640019838401</v>
      </c>
      <c r="D38" s="41">
        <f>B38-C38</f>
        <v>0.31050233262039839</v>
      </c>
      <c r="E38" s="42" t="s">
        <v>41</v>
      </c>
      <c r="F38" s="43">
        <v>0.86753521999999705</v>
      </c>
      <c r="G38" s="44">
        <f>F38-F6</f>
        <v>4.8317830549098773E-2</v>
      </c>
      <c r="H38" s="45">
        <f t="shared" ref="H38:H64" si="3">(2^(-G38))</f>
        <v>0.96706325887006706</v>
      </c>
    </row>
    <row r="39" spans="1:8" x14ac:dyDescent="0.3">
      <c r="A39" s="19" t="s">
        <v>40</v>
      </c>
      <c r="B39" s="12">
        <v>22.441882079999999</v>
      </c>
      <c r="C39" s="12">
        <v>22.470004589999999</v>
      </c>
      <c r="D39" s="17">
        <f t="shared" ref="D39:D64" si="4">B39-C39</f>
        <v>-2.8122509999999323E-2</v>
      </c>
      <c r="E39" s="32" t="s">
        <v>39</v>
      </c>
      <c r="F39" s="33">
        <v>0.31050233262039839</v>
      </c>
      <c r="G39" s="34">
        <f>F39-F7</f>
        <v>-0.16961930737960174</v>
      </c>
      <c r="H39" s="20">
        <f t="shared" si="3"/>
        <v>1.1247616479033291</v>
      </c>
    </row>
    <row r="40" spans="1:8" s="54" customFormat="1" x14ac:dyDescent="0.3">
      <c r="A40" s="47" t="s">
        <v>41</v>
      </c>
      <c r="B40" s="48">
        <v>22.717355309999999</v>
      </c>
      <c r="C40" s="48">
        <v>21.849820090000001</v>
      </c>
      <c r="D40" s="49">
        <f t="shared" si="4"/>
        <v>0.86753521999999705</v>
      </c>
      <c r="E40" s="50" t="s">
        <v>40</v>
      </c>
      <c r="F40" s="51">
        <v>-2.8122509999999323E-2</v>
      </c>
      <c r="G40" s="52">
        <f>F40-F8</f>
        <v>-0.40045472999999987</v>
      </c>
      <c r="H40" s="53">
        <f t="shared" si="3"/>
        <v>1.3199238783798823</v>
      </c>
    </row>
    <row r="41" spans="1:8" x14ac:dyDescent="0.3">
      <c r="A41" s="19" t="s">
        <v>42</v>
      </c>
      <c r="B41" s="12">
        <v>23.643672884203301</v>
      </c>
      <c r="C41" s="12">
        <v>23.644570563811701</v>
      </c>
      <c r="D41" s="17">
        <f t="shared" si="4"/>
        <v>-8.9767960839992611E-4</v>
      </c>
      <c r="E41" s="32" t="s">
        <v>42</v>
      </c>
      <c r="F41" s="33">
        <v>-8.9767960839992611E-4</v>
      </c>
      <c r="G41" s="34">
        <f>F41-F9</f>
        <v>-0.7040121072957497</v>
      </c>
      <c r="H41" s="20">
        <f t="shared" si="3"/>
        <v>1.629028797117396</v>
      </c>
    </row>
    <row r="42" spans="1:8" x14ac:dyDescent="0.3">
      <c r="A42" s="19" t="s">
        <v>43</v>
      </c>
      <c r="B42" s="12">
        <v>22.573469288304501</v>
      </c>
      <c r="C42" s="12">
        <v>23.0605329864803</v>
      </c>
      <c r="D42" s="17">
        <f t="shared" si="4"/>
        <v>-0.48706369817579898</v>
      </c>
      <c r="E42" s="32" t="s">
        <v>43</v>
      </c>
      <c r="F42" s="33">
        <v>-0.48706369817579898</v>
      </c>
      <c r="G42" s="34">
        <f t="shared" ref="G42:G63" si="5">F42-F10</f>
        <v>-1.0803823306247011</v>
      </c>
      <c r="H42" s="20">
        <f t="shared" si="3"/>
        <v>2.1145963990147885</v>
      </c>
    </row>
    <row r="43" spans="1:8" s="54" customFormat="1" x14ac:dyDescent="0.3">
      <c r="A43" s="47" t="s">
        <v>44</v>
      </c>
      <c r="B43" s="48">
        <v>22.230617544006499</v>
      </c>
      <c r="C43" s="48">
        <v>23.063525139965702</v>
      </c>
      <c r="D43" s="49">
        <f t="shared" si="4"/>
        <v>-0.8329075959592025</v>
      </c>
      <c r="E43" s="50" t="s">
        <v>44</v>
      </c>
      <c r="F43" s="51">
        <v>-0.8329075959592025</v>
      </c>
      <c r="G43" s="52">
        <f t="shared" si="5"/>
        <v>-0.56402576880540423</v>
      </c>
      <c r="H43" s="53">
        <f t="shared" si="3"/>
        <v>1.4783888373908345</v>
      </c>
    </row>
    <row r="44" spans="1:8" x14ac:dyDescent="0.3">
      <c r="A44" s="19" t="s">
        <v>45</v>
      </c>
      <c r="B44" s="12">
        <v>22.3195223424507</v>
      </c>
      <c r="C44" s="12">
        <v>21.733575024361897</v>
      </c>
      <c r="D44" s="17">
        <f t="shared" si="4"/>
        <v>0.5859473180888024</v>
      </c>
      <c r="E44" s="32" t="s">
        <v>45</v>
      </c>
      <c r="F44" s="33">
        <v>0.5859473180888024</v>
      </c>
      <c r="G44" s="34">
        <f t="shared" si="5"/>
        <v>0.12168968127890167</v>
      </c>
      <c r="H44" s="20">
        <f t="shared" si="3"/>
        <v>0.91911055972589328</v>
      </c>
    </row>
    <row r="45" spans="1:8" x14ac:dyDescent="0.3">
      <c r="A45" s="19" t="s">
        <v>46</v>
      </c>
      <c r="B45" s="12">
        <v>20.7854175801601</v>
      </c>
      <c r="C45" s="12">
        <v>22.131930155075398</v>
      </c>
      <c r="D45" s="17">
        <f t="shared" si="4"/>
        <v>-1.3465125749152982</v>
      </c>
      <c r="E45" s="32" t="s">
        <v>47</v>
      </c>
      <c r="F45" s="33">
        <v>-1.1731267873371998</v>
      </c>
      <c r="G45" s="34">
        <f t="shared" si="5"/>
        <v>-0.36878373319260049</v>
      </c>
      <c r="H45" s="20">
        <f t="shared" si="3"/>
        <v>1.2912637692494957</v>
      </c>
    </row>
    <row r="46" spans="1:8" s="54" customFormat="1" x14ac:dyDescent="0.3">
      <c r="A46" s="57" t="s">
        <v>47</v>
      </c>
      <c r="B46" s="48">
        <v>21.327965162203601</v>
      </c>
      <c r="C46" s="48">
        <v>22.5010919495408</v>
      </c>
      <c r="D46" s="49">
        <f t="shared" si="4"/>
        <v>-1.1731267873371998</v>
      </c>
      <c r="E46" s="50" t="s">
        <v>46</v>
      </c>
      <c r="F46" s="51">
        <v>-1.3465125749152982</v>
      </c>
      <c r="G46" s="52">
        <f t="shared" si="5"/>
        <v>0.83240105838865119</v>
      </c>
      <c r="H46" s="53">
        <f t="shared" si="3"/>
        <v>0.56159381095125194</v>
      </c>
    </row>
    <row r="47" spans="1:8" x14ac:dyDescent="0.3">
      <c r="A47" s="19" t="s">
        <v>49</v>
      </c>
      <c r="B47" s="12">
        <v>22.219693348318</v>
      </c>
      <c r="C47" s="12">
        <v>22.149981926511401</v>
      </c>
      <c r="D47" s="17">
        <f t="shared" si="4"/>
        <v>6.9711421806598395E-2</v>
      </c>
      <c r="E47" s="32" t="s">
        <v>50</v>
      </c>
      <c r="F47" s="33">
        <v>0.47719616000000187</v>
      </c>
      <c r="G47" s="34">
        <f t="shared" si="5"/>
        <v>-1.1208461589194485</v>
      </c>
      <c r="H47" s="20">
        <f t="shared" si="3"/>
        <v>2.1747448664889961</v>
      </c>
    </row>
    <row r="48" spans="1:8" x14ac:dyDescent="0.3">
      <c r="A48" s="19" t="s">
        <v>50</v>
      </c>
      <c r="B48" s="12">
        <v>21.479332150000001</v>
      </c>
      <c r="C48" s="12">
        <v>21.002135989999999</v>
      </c>
      <c r="D48" s="17">
        <f t="shared" si="4"/>
        <v>0.47719616000000187</v>
      </c>
      <c r="E48" s="32" t="s">
        <v>51</v>
      </c>
      <c r="F48" s="33">
        <v>0.10053055999999927</v>
      </c>
      <c r="G48" s="34">
        <f t="shared" si="5"/>
        <v>-0.58445700000000045</v>
      </c>
      <c r="H48" s="20">
        <f t="shared" si="3"/>
        <v>1.4994745124677582</v>
      </c>
    </row>
    <row r="49" spans="1:8" s="54" customFormat="1" x14ac:dyDescent="0.3">
      <c r="A49" s="47" t="s">
        <v>51</v>
      </c>
      <c r="B49" s="48">
        <v>22.449259529999999</v>
      </c>
      <c r="C49" s="48">
        <v>22.34872897</v>
      </c>
      <c r="D49" s="49">
        <f t="shared" si="4"/>
        <v>0.10053055999999927</v>
      </c>
      <c r="E49" s="50" t="s">
        <v>49</v>
      </c>
      <c r="F49" s="51">
        <v>6.9711421806598395E-2</v>
      </c>
      <c r="G49" s="52">
        <f t="shared" si="5"/>
        <v>-0.20476039819340031</v>
      </c>
      <c r="H49" s="53">
        <f t="shared" si="3"/>
        <v>1.1524949253340295</v>
      </c>
    </row>
    <row r="50" spans="1:8" x14ac:dyDescent="0.3">
      <c r="A50" s="19" t="s">
        <v>52</v>
      </c>
      <c r="B50" s="12">
        <v>22.6639954924104</v>
      </c>
      <c r="C50" s="12">
        <v>21.5118885903304</v>
      </c>
      <c r="D50" s="17">
        <f t="shared" si="4"/>
        <v>1.1521069020799999</v>
      </c>
      <c r="E50" s="32" t="s">
        <v>52</v>
      </c>
      <c r="F50" s="33">
        <v>1.1521069020799999</v>
      </c>
      <c r="G50" s="34">
        <f t="shared" si="5"/>
        <v>-0.41430925806294994</v>
      </c>
      <c r="H50" s="20">
        <f t="shared" si="3"/>
        <v>1.3326604653781213</v>
      </c>
    </row>
    <row r="51" spans="1:8" x14ac:dyDescent="0.3">
      <c r="A51" s="19" t="s">
        <v>53</v>
      </c>
      <c r="B51" s="12">
        <v>20.5967119233636</v>
      </c>
      <c r="C51" s="12">
        <v>22.216409733620299</v>
      </c>
      <c r="D51" s="17">
        <f t="shared" si="4"/>
        <v>-1.6196978102566995</v>
      </c>
      <c r="E51" s="32" t="s">
        <v>53</v>
      </c>
      <c r="F51" s="33">
        <v>-1.6196978102566995</v>
      </c>
      <c r="G51" s="34">
        <f t="shared" si="5"/>
        <v>-2.5624638234828971</v>
      </c>
      <c r="H51" s="20">
        <f t="shared" si="3"/>
        <v>5.9071564561081011</v>
      </c>
    </row>
    <row r="52" spans="1:8" s="54" customFormat="1" x14ac:dyDescent="0.3">
      <c r="A52" s="47" t="s">
        <v>54</v>
      </c>
      <c r="B52" s="48">
        <v>20.477870939370149</v>
      </c>
      <c r="C52" s="48">
        <v>22.4348852602111</v>
      </c>
      <c r="D52" s="49">
        <f t="shared" si="4"/>
        <v>-1.9570143208409512</v>
      </c>
      <c r="E52" s="50" t="s">
        <v>54</v>
      </c>
      <c r="F52" s="51">
        <v>-1.9570143208409512</v>
      </c>
      <c r="G52" s="52">
        <f t="shared" si="5"/>
        <v>-2.1673607272584512</v>
      </c>
      <c r="H52" s="53">
        <f t="shared" si="3"/>
        <v>4.4920087166417035</v>
      </c>
    </row>
    <row r="53" spans="1:8" x14ac:dyDescent="0.3">
      <c r="A53" s="19" t="s">
        <v>55</v>
      </c>
      <c r="B53" s="12">
        <v>22.912954818890999</v>
      </c>
      <c r="C53" s="12">
        <v>22.881118108919601</v>
      </c>
      <c r="D53" s="17">
        <f t="shared" si="4"/>
        <v>3.1836709971397426E-2</v>
      </c>
      <c r="E53" s="32" t="s">
        <v>55</v>
      </c>
      <c r="F53" s="33">
        <v>3.1836709971397426E-2</v>
      </c>
      <c r="G53" s="34">
        <f t="shared" si="5"/>
        <v>-1.0626619391617531</v>
      </c>
      <c r="H53" s="20">
        <f t="shared" si="3"/>
        <v>2.0887820126176115</v>
      </c>
    </row>
    <row r="54" spans="1:8" x14ac:dyDescent="0.3">
      <c r="A54" s="19" t="s">
        <v>56</v>
      </c>
      <c r="B54" s="12">
        <v>22.2507796074295</v>
      </c>
      <c r="C54" s="12">
        <v>24.250507173621699</v>
      </c>
      <c r="D54" s="17">
        <f t="shared" si="4"/>
        <v>-1.9997275661921989</v>
      </c>
      <c r="E54" s="32" t="s">
        <v>57</v>
      </c>
      <c r="F54" s="33">
        <v>-1.5823415188004013</v>
      </c>
      <c r="G54" s="34">
        <f t="shared" si="5"/>
        <v>-0.65220930217099848</v>
      </c>
      <c r="H54" s="20">
        <f t="shared" si="3"/>
        <v>1.5715730162252535</v>
      </c>
    </row>
    <row r="55" spans="1:8" s="54" customFormat="1" x14ac:dyDescent="0.3">
      <c r="A55" s="47" t="s">
        <v>57</v>
      </c>
      <c r="B55" s="48">
        <v>21.688351096602499</v>
      </c>
      <c r="C55" s="48">
        <v>23.270692615402901</v>
      </c>
      <c r="D55" s="49">
        <f t="shared" si="4"/>
        <v>-1.5823415188004013</v>
      </c>
      <c r="E55" s="50" t="s">
        <v>56</v>
      </c>
      <c r="F55" s="51">
        <v>-1.9997275661921989</v>
      </c>
      <c r="G55" s="52">
        <f t="shared" si="5"/>
        <v>-0.77881784454829983</v>
      </c>
      <c r="H55" s="53">
        <f t="shared" si="3"/>
        <v>1.7157244188932101</v>
      </c>
    </row>
    <row r="56" spans="1:8" x14ac:dyDescent="0.3">
      <c r="A56" s="19" t="s">
        <v>58</v>
      </c>
      <c r="B56" s="12">
        <v>21.313555079510301</v>
      </c>
      <c r="C56" s="12">
        <v>21.0258992269288</v>
      </c>
      <c r="D56" s="17">
        <f t="shared" si="4"/>
        <v>0.28765585258150139</v>
      </c>
      <c r="E56" s="32" t="s">
        <v>60</v>
      </c>
      <c r="F56" s="33">
        <v>0.89137433000000144</v>
      </c>
      <c r="G56" s="34">
        <f t="shared" si="5"/>
        <v>-8.7060029999999955E-2</v>
      </c>
      <c r="H56" s="20">
        <f t="shared" si="3"/>
        <v>1.0622033834605806</v>
      </c>
    </row>
    <row r="57" spans="1:8" x14ac:dyDescent="0.3">
      <c r="A57" s="19" t="s">
        <v>59</v>
      </c>
      <c r="B57" s="12">
        <v>21.318573090000001</v>
      </c>
      <c r="C57" s="12">
        <v>20.532686590000001</v>
      </c>
      <c r="D57" s="17">
        <f t="shared" si="4"/>
        <v>0.78588650000000015</v>
      </c>
      <c r="E57" s="32" t="s">
        <v>59</v>
      </c>
      <c r="F57" s="33">
        <v>0.78588650000000015</v>
      </c>
      <c r="G57" s="34">
        <f t="shared" si="5"/>
        <v>0.42037038000000138</v>
      </c>
      <c r="H57" s="20">
        <f t="shared" si="3"/>
        <v>0.7472327642275538</v>
      </c>
    </row>
    <row r="58" spans="1:8" s="54" customFormat="1" x14ac:dyDescent="0.3">
      <c r="A58" s="47" t="s">
        <v>60</v>
      </c>
      <c r="B58" s="48">
        <v>22.11668676</v>
      </c>
      <c r="C58" s="48">
        <v>21.225312429999999</v>
      </c>
      <c r="D58" s="49">
        <f t="shared" si="4"/>
        <v>0.89137433000000144</v>
      </c>
      <c r="E58" s="50" t="s">
        <v>58</v>
      </c>
      <c r="F58" s="51">
        <v>0.28765585258150139</v>
      </c>
      <c r="G58" s="52">
        <f t="shared" si="5"/>
        <v>8.1865410948150696E-2</v>
      </c>
      <c r="H58" s="53">
        <f t="shared" si="3"/>
        <v>0.94483518058048643</v>
      </c>
    </row>
    <row r="59" spans="1:8" x14ac:dyDescent="0.3">
      <c r="A59" s="19" t="s">
        <v>61</v>
      </c>
      <c r="B59" s="46">
        <v>22.772145458871702</v>
      </c>
      <c r="C59" s="46">
        <v>21.688338106536101</v>
      </c>
      <c r="D59" s="17">
        <f t="shared" si="4"/>
        <v>1.0838073523356009</v>
      </c>
      <c r="E59" s="32" t="s">
        <v>61</v>
      </c>
      <c r="F59" s="33">
        <v>1.0838073523356009</v>
      </c>
      <c r="G59" s="34">
        <f t="shared" si="5"/>
        <v>0.10905622810425086</v>
      </c>
      <c r="H59" s="20">
        <f t="shared" si="3"/>
        <v>0.92719440893004823</v>
      </c>
    </row>
    <row r="60" spans="1:8" x14ac:dyDescent="0.3">
      <c r="A60" s="19" t="s">
        <v>62</v>
      </c>
      <c r="B60" s="46">
        <v>20.913504268942798</v>
      </c>
      <c r="C60" s="46">
        <v>22.917971092062551</v>
      </c>
      <c r="D60" s="17">
        <f t="shared" si="4"/>
        <v>-2.0044668231197527</v>
      </c>
      <c r="E60" s="32" t="s">
        <v>63</v>
      </c>
      <c r="F60" s="33">
        <v>-1.9723566792103995</v>
      </c>
      <c r="G60" s="34">
        <f t="shared" si="5"/>
        <v>-0.61276837971119846</v>
      </c>
      <c r="H60" s="20">
        <f t="shared" si="3"/>
        <v>1.5291907512627176</v>
      </c>
    </row>
    <row r="61" spans="1:8" s="54" customFormat="1" x14ac:dyDescent="0.3">
      <c r="A61" s="47" t="s">
        <v>63</v>
      </c>
      <c r="B61" s="55">
        <v>19.652925696011099</v>
      </c>
      <c r="C61" s="55">
        <v>21.625282375221499</v>
      </c>
      <c r="D61" s="49">
        <f t="shared" si="4"/>
        <v>-1.9723566792103995</v>
      </c>
      <c r="E61" s="50" t="s">
        <v>62</v>
      </c>
      <c r="F61" s="51">
        <v>-2.0044668231197527</v>
      </c>
      <c r="G61" s="52">
        <f t="shared" si="5"/>
        <v>-0.11757342210945509</v>
      </c>
      <c r="H61" s="53">
        <f t="shared" si="3"/>
        <v>1.0849085373261595</v>
      </c>
    </row>
    <row r="62" spans="1:8" x14ac:dyDescent="0.3">
      <c r="A62" s="19" t="s">
        <v>64</v>
      </c>
      <c r="B62" s="12">
        <v>21.682802784241002</v>
      </c>
      <c r="C62" s="12">
        <v>20.593000839074399</v>
      </c>
      <c r="D62" s="17">
        <f t="shared" si="4"/>
        <v>1.0898019451666023</v>
      </c>
      <c r="E62" s="32" t="s">
        <v>64</v>
      </c>
      <c r="F62" s="33">
        <v>1.0898019451666023</v>
      </c>
      <c r="G62" s="34">
        <f t="shared" si="5"/>
        <v>0.86421184609400115</v>
      </c>
      <c r="H62" s="20">
        <f t="shared" si="3"/>
        <v>0.54934643654768356</v>
      </c>
    </row>
    <row r="63" spans="1:8" x14ac:dyDescent="0.3">
      <c r="A63" s="19" t="s">
        <v>65</v>
      </c>
      <c r="B63" s="12">
        <v>21.718473639880301</v>
      </c>
      <c r="C63" s="12">
        <v>22.938666322646199</v>
      </c>
      <c r="D63" s="17">
        <f t="shared" si="4"/>
        <v>-1.220192682765898</v>
      </c>
      <c r="E63" s="32" t="s">
        <v>48</v>
      </c>
      <c r="F63" s="33">
        <v>-1.1705569297365983</v>
      </c>
      <c r="G63" s="34">
        <f t="shared" si="5"/>
        <v>-0.32098269759429954</v>
      </c>
      <c r="H63" s="20">
        <f t="shared" si="3"/>
        <v>1.2491811439920115</v>
      </c>
    </row>
    <row r="64" spans="1:8" ht="16.2" thickBot="1" x14ac:dyDescent="0.35">
      <c r="A64" s="29" t="s">
        <v>48</v>
      </c>
      <c r="B64" s="13">
        <v>20.389046333576001</v>
      </c>
      <c r="C64" s="30">
        <v>21.559603263312599</v>
      </c>
      <c r="D64" s="21">
        <f t="shared" si="4"/>
        <v>-1.1705569297365983</v>
      </c>
      <c r="E64" s="22" t="s">
        <v>65</v>
      </c>
      <c r="F64" s="23">
        <v>-1.220192682765898</v>
      </c>
      <c r="G64" s="24">
        <f>F64-F32</f>
        <v>0.409879481042001</v>
      </c>
      <c r="H64" s="31">
        <f t="shared" si="3"/>
        <v>0.75268624851340649</v>
      </c>
    </row>
    <row r="65" spans="1:8" x14ac:dyDescent="0.3">
      <c r="A65" s="15"/>
      <c r="B65" s="16"/>
      <c r="C65" s="15"/>
      <c r="D65" s="17"/>
      <c r="E65" s="15"/>
      <c r="F65" s="18"/>
      <c r="G65" s="17"/>
      <c r="H65" s="17"/>
    </row>
    <row r="66" spans="1:8" x14ac:dyDescent="0.3">
      <c r="A66" s="19"/>
      <c r="B66" s="12"/>
      <c r="C66" s="12"/>
      <c r="D66" s="17"/>
      <c r="E66" s="12"/>
      <c r="F66" s="12"/>
      <c r="G66" s="12"/>
      <c r="H66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90695-5464-455C-941D-060C65FDA789}">
  <dimension ref="A1:G66"/>
  <sheetViews>
    <sheetView workbookViewId="0">
      <selection activeCell="E50" sqref="E50"/>
    </sheetView>
  </sheetViews>
  <sheetFormatPr defaultColWidth="11" defaultRowHeight="15.6" x14ac:dyDescent="0.3"/>
  <cols>
    <col min="1" max="1" width="14.59765625" customWidth="1"/>
    <col min="2" max="2" width="12.3984375" customWidth="1"/>
    <col min="4" max="4" width="19.09765625" bestFit="1" customWidth="1"/>
    <col min="5" max="5" width="23.5" customWidth="1"/>
    <col min="6" max="6" width="26.8984375" customWidth="1"/>
    <col min="7" max="7" width="31.09765625" bestFit="1" customWidth="1"/>
    <col min="10" max="10" width="17.59765625" bestFit="1" customWidth="1"/>
  </cols>
  <sheetData>
    <row r="1" spans="1:7" x14ac:dyDescent="0.3">
      <c r="A1" s="15"/>
      <c r="B1" s="16"/>
      <c r="C1" s="16"/>
      <c r="D1" s="17"/>
      <c r="E1" s="18"/>
      <c r="F1" s="17"/>
      <c r="G1" s="17"/>
    </row>
    <row r="2" spans="1:7" ht="17.399999999999999" x14ac:dyDescent="0.3">
      <c r="A2" s="1"/>
      <c r="B2" s="1"/>
      <c r="C2" s="16"/>
      <c r="D2" s="17"/>
      <c r="E2" s="18"/>
      <c r="F2" s="17"/>
      <c r="G2" s="17"/>
    </row>
    <row r="3" spans="1:7" ht="16.2" thickBot="1" x14ac:dyDescent="0.35">
      <c r="A3" s="15"/>
      <c r="B3" s="2"/>
      <c r="C3" s="2"/>
      <c r="D3" s="3"/>
      <c r="E3" s="5"/>
      <c r="F3" s="3"/>
      <c r="G3" s="3"/>
    </row>
    <row r="4" spans="1:7" x14ac:dyDescent="0.3">
      <c r="A4" s="6" t="s">
        <v>10</v>
      </c>
      <c r="B4" s="7" t="s">
        <v>9</v>
      </c>
      <c r="C4" s="7" t="s">
        <v>8</v>
      </c>
      <c r="D4" s="7" t="s">
        <v>7</v>
      </c>
      <c r="E4" s="10"/>
      <c r="F4" s="9"/>
      <c r="G4" s="11"/>
    </row>
    <row r="5" spans="1:7" ht="16.2" thickBot="1" x14ac:dyDescent="0.35">
      <c r="A5" s="35" t="s">
        <v>0</v>
      </c>
      <c r="B5" s="36" t="s">
        <v>2</v>
      </c>
      <c r="C5" s="36" t="s">
        <v>2</v>
      </c>
      <c r="D5" s="36" t="s">
        <v>3</v>
      </c>
      <c r="E5" s="28" t="s">
        <v>66</v>
      </c>
      <c r="F5" s="37" t="s">
        <v>67</v>
      </c>
      <c r="G5" s="38" t="s">
        <v>68</v>
      </c>
    </row>
    <row r="6" spans="1:7" x14ac:dyDescent="0.3">
      <c r="A6" s="39" t="s">
        <v>12</v>
      </c>
      <c r="B6" s="40">
        <v>23.306765266839001</v>
      </c>
      <c r="C6" s="40">
        <v>22.487547877388103</v>
      </c>
      <c r="D6" s="41">
        <f>B6-C6</f>
        <v>0.81921738945089828</v>
      </c>
      <c r="E6" s="43">
        <f>AVERAGE(D6:D8)</f>
        <v>0.55722374981696632</v>
      </c>
      <c r="F6" s="44">
        <f>E6-D6</f>
        <v>-0.26199363963393196</v>
      </c>
      <c r="G6" s="45">
        <f t="shared" ref="G6:G32" si="0">(2^(-F6))</f>
        <v>1.1991346271908334</v>
      </c>
    </row>
    <row r="7" spans="1:7" x14ac:dyDescent="0.3">
      <c r="A7" s="19" t="s">
        <v>13</v>
      </c>
      <c r="B7" s="12">
        <v>22.38716402</v>
      </c>
      <c r="C7" s="12">
        <v>22.0148318</v>
      </c>
      <c r="D7" s="17">
        <f t="shared" ref="D7:D32" si="1">B7-C7</f>
        <v>0.37233222000000055</v>
      </c>
      <c r="E7" s="33">
        <v>0.55722374981696632</v>
      </c>
      <c r="F7" s="34">
        <f t="shared" ref="F7:F32" si="2">E7-D7</f>
        <v>0.18489152981696577</v>
      </c>
      <c r="G7" s="20">
        <f t="shared" si="0"/>
        <v>0.87971521552963572</v>
      </c>
    </row>
    <row r="8" spans="1:7" s="54" customFormat="1" x14ac:dyDescent="0.3">
      <c r="A8" s="47" t="s">
        <v>14</v>
      </c>
      <c r="B8" s="48">
        <v>22.40942686</v>
      </c>
      <c r="C8" s="48">
        <v>21.92930522</v>
      </c>
      <c r="D8" s="49">
        <f t="shared" si="1"/>
        <v>0.48012164000000013</v>
      </c>
      <c r="E8" s="51">
        <v>0.55722374981696632</v>
      </c>
      <c r="F8" s="52">
        <f t="shared" si="2"/>
        <v>7.7102109816966191E-2</v>
      </c>
      <c r="G8" s="53">
        <f t="shared" si="0"/>
        <v>0.94795986887371186</v>
      </c>
    </row>
    <row r="9" spans="1:7" x14ac:dyDescent="0.3">
      <c r="A9" s="19" t="s">
        <v>15</v>
      </c>
      <c r="B9" s="46">
        <v>24.8770226340215</v>
      </c>
      <c r="C9" s="16">
        <v>24.283704001572598</v>
      </c>
      <c r="D9" s="17">
        <f t="shared" si="1"/>
        <v>0.59331863244890215</v>
      </c>
      <c r="E9" s="33">
        <f>AVERAGE(D9:D11)</f>
        <v>0.3425170776608179</v>
      </c>
      <c r="F9" s="34">
        <f t="shared" si="2"/>
        <v>-0.25080155478808425</v>
      </c>
      <c r="G9" s="20">
        <f t="shared" si="0"/>
        <v>1.1898680166346927</v>
      </c>
    </row>
    <row r="10" spans="1:7" x14ac:dyDescent="0.3">
      <c r="A10" s="19" t="s">
        <v>16</v>
      </c>
      <c r="B10" s="46">
        <v>22.845784950180999</v>
      </c>
      <c r="C10" s="16">
        <v>22.142670522493649</v>
      </c>
      <c r="D10" s="17">
        <f t="shared" si="1"/>
        <v>0.70311442768734977</v>
      </c>
      <c r="E10" s="33">
        <v>0.3425170776608179</v>
      </c>
      <c r="F10" s="34">
        <f t="shared" si="2"/>
        <v>-0.36059735002653187</v>
      </c>
      <c r="G10" s="20">
        <f t="shared" si="0"/>
        <v>1.2839574119934334</v>
      </c>
    </row>
    <row r="11" spans="1:7" s="54" customFormat="1" x14ac:dyDescent="0.3">
      <c r="A11" s="47" t="s">
        <v>17</v>
      </c>
      <c r="B11" s="55">
        <v>26.967640575526801</v>
      </c>
      <c r="C11" s="56">
        <v>27.236522402680599</v>
      </c>
      <c r="D11" s="49">
        <f t="shared" si="1"/>
        <v>-0.26888182715379827</v>
      </c>
      <c r="E11" s="51">
        <v>0.3425170776608179</v>
      </c>
      <c r="F11" s="52">
        <f t="shared" si="2"/>
        <v>0.61139890481461623</v>
      </c>
      <c r="G11" s="53">
        <f t="shared" si="0"/>
        <v>0.6545617003732469</v>
      </c>
    </row>
    <row r="12" spans="1:7" x14ac:dyDescent="0.3">
      <c r="A12" s="19" t="s">
        <v>18</v>
      </c>
      <c r="B12" s="46">
        <v>22.140965526625902</v>
      </c>
      <c r="C12" s="16">
        <v>21.676707889816001</v>
      </c>
      <c r="D12" s="17">
        <f t="shared" si="1"/>
        <v>0.46425763680990073</v>
      </c>
      <c r="E12" s="33">
        <f>AVERAGE(D12:D14)</f>
        <v>-0.83966635021288261</v>
      </c>
      <c r="F12" s="34">
        <f t="shared" si="2"/>
        <v>-1.3039239870227832</v>
      </c>
      <c r="G12" s="20">
        <f t="shared" si="0"/>
        <v>2.4689951234984271</v>
      </c>
    </row>
    <row r="13" spans="1:7" x14ac:dyDescent="0.3">
      <c r="A13" s="19" t="s">
        <v>19</v>
      </c>
      <c r="B13" s="12">
        <v>21.239101077596601</v>
      </c>
      <c r="C13" s="12">
        <v>22.0434441317412</v>
      </c>
      <c r="D13" s="17">
        <f>B13-C13</f>
        <v>-0.80434305414459928</v>
      </c>
      <c r="E13" s="33">
        <v>-0.83966635021288261</v>
      </c>
      <c r="F13" s="34">
        <f t="shared" si="2"/>
        <v>-3.5323296068283327E-2</v>
      </c>
      <c r="G13" s="20">
        <f t="shared" si="0"/>
        <v>1.024786443499734</v>
      </c>
    </row>
    <row r="14" spans="1:7" s="54" customFormat="1" x14ac:dyDescent="0.3">
      <c r="A14" s="47" t="s">
        <v>20</v>
      </c>
      <c r="B14" s="48">
        <v>21.685610186448649</v>
      </c>
      <c r="C14" s="48">
        <v>23.864523819752598</v>
      </c>
      <c r="D14" s="49">
        <f t="shared" si="1"/>
        <v>-2.1789136333039494</v>
      </c>
      <c r="E14" s="51">
        <v>-0.83966635021288261</v>
      </c>
      <c r="F14" s="52">
        <f t="shared" si="2"/>
        <v>1.3392472830910669</v>
      </c>
      <c r="G14" s="53">
        <f t="shared" si="0"/>
        <v>0.39522680920694736</v>
      </c>
    </row>
    <row r="15" spans="1:7" x14ac:dyDescent="0.3">
      <c r="A15" s="19" t="s">
        <v>21</v>
      </c>
      <c r="B15" s="12">
        <v>22.417858190241599</v>
      </c>
      <c r="C15" s="12">
        <v>20.819815871322149</v>
      </c>
      <c r="D15" s="17">
        <f t="shared" si="1"/>
        <v>1.5980423189194504</v>
      </c>
      <c r="E15" s="33">
        <f>AVERAGE(D15:D17)</f>
        <v>0.85250056630648297</v>
      </c>
      <c r="F15" s="34">
        <f t="shared" si="2"/>
        <v>-0.7455417526129674</v>
      </c>
      <c r="G15" s="20">
        <f t="shared" si="0"/>
        <v>1.676603739814347</v>
      </c>
    </row>
    <row r="16" spans="1:7" x14ac:dyDescent="0.3">
      <c r="A16" s="19" t="s">
        <v>22</v>
      </c>
      <c r="B16" s="12">
        <v>22.847207959999999</v>
      </c>
      <c r="C16" s="12">
        <v>22.57273614</v>
      </c>
      <c r="D16" s="17">
        <f t="shared" si="1"/>
        <v>0.2744718199999987</v>
      </c>
      <c r="E16" s="33">
        <v>0.85250056630648297</v>
      </c>
      <c r="F16" s="34">
        <f t="shared" si="2"/>
        <v>0.57802874630648426</v>
      </c>
      <c r="G16" s="20">
        <f t="shared" si="0"/>
        <v>0.66987845347054198</v>
      </c>
    </row>
    <row r="17" spans="1:7" s="54" customFormat="1" x14ac:dyDescent="0.3">
      <c r="A17" s="47" t="s">
        <v>23</v>
      </c>
      <c r="B17" s="48">
        <v>21.082898140000001</v>
      </c>
      <c r="C17" s="48">
        <v>20.397910580000001</v>
      </c>
      <c r="D17" s="49">
        <f t="shared" si="1"/>
        <v>0.68498755999999972</v>
      </c>
      <c r="E17" s="51">
        <v>0.85250056630648297</v>
      </c>
      <c r="F17" s="52">
        <f t="shared" si="2"/>
        <v>0.16751300630648325</v>
      </c>
      <c r="G17" s="53">
        <f t="shared" si="0"/>
        <v>0.89037623642469643</v>
      </c>
    </row>
    <row r="18" spans="1:7" x14ac:dyDescent="0.3">
      <c r="A18" s="19" t="s">
        <v>24</v>
      </c>
      <c r="B18" s="12">
        <v>22.8573940265365</v>
      </c>
      <c r="C18" s="12">
        <v>21.29097786639355</v>
      </c>
      <c r="D18" s="17">
        <f t="shared" si="1"/>
        <v>1.5664161601429498</v>
      </c>
      <c r="E18" s="33">
        <f>AVERAGE(D18:D20)</f>
        <v>0.90650952659554918</v>
      </c>
      <c r="F18" s="34">
        <f t="shared" si="2"/>
        <v>-0.65990663354740065</v>
      </c>
      <c r="G18" s="20">
        <f t="shared" si="0"/>
        <v>1.579980369312902</v>
      </c>
    </row>
    <row r="19" spans="1:7" x14ac:dyDescent="0.3">
      <c r="A19" s="19" t="s">
        <v>25</v>
      </c>
      <c r="B19" s="12">
        <v>21.683768581995899</v>
      </c>
      <c r="C19" s="12">
        <v>21.473422175578399</v>
      </c>
      <c r="D19" s="17">
        <f t="shared" si="1"/>
        <v>0.21034640641750002</v>
      </c>
      <c r="E19" s="33">
        <v>0.90650952659554918</v>
      </c>
      <c r="F19" s="34">
        <f t="shared" si="2"/>
        <v>0.69616312017804916</v>
      </c>
      <c r="G19" s="20">
        <f t="shared" si="0"/>
        <v>0.61721151368448091</v>
      </c>
    </row>
    <row r="20" spans="1:7" s="54" customFormat="1" x14ac:dyDescent="0.3">
      <c r="A20" s="47" t="s">
        <v>26</v>
      </c>
      <c r="B20" s="48">
        <v>22.367877401643099</v>
      </c>
      <c r="C20" s="48">
        <v>21.425111388416902</v>
      </c>
      <c r="D20" s="49">
        <f t="shared" si="1"/>
        <v>0.94276601322619769</v>
      </c>
      <c r="E20" s="51">
        <v>0.90650952659554918</v>
      </c>
      <c r="F20" s="52">
        <f t="shared" si="2"/>
        <v>-3.625648663064851E-2</v>
      </c>
      <c r="G20" s="53">
        <f t="shared" si="0"/>
        <v>1.025449529162114</v>
      </c>
    </row>
    <row r="21" spans="1:7" x14ac:dyDescent="0.3">
      <c r="A21" s="19" t="s">
        <v>27</v>
      </c>
      <c r="B21" s="12">
        <v>22.226897332421501</v>
      </c>
      <c r="C21" s="12">
        <v>21.132398683288351</v>
      </c>
      <c r="D21" s="17">
        <f t="shared" si="1"/>
        <v>1.0944986491331505</v>
      </c>
      <c r="E21" s="33">
        <f>AVERAGE(D21:D23)</f>
        <v>-0.35218109638005046</v>
      </c>
      <c r="F21" s="34">
        <f t="shared" si="2"/>
        <v>-1.446679745513201</v>
      </c>
      <c r="G21" s="20">
        <f t="shared" si="0"/>
        <v>2.7258000647769451</v>
      </c>
    </row>
    <row r="22" spans="1:7" x14ac:dyDescent="0.3">
      <c r="A22" s="19" t="s">
        <v>28</v>
      </c>
      <c r="B22" s="12">
        <v>20.867760064222299</v>
      </c>
      <c r="C22" s="12">
        <v>22.088669785866198</v>
      </c>
      <c r="D22" s="17">
        <f t="shared" si="1"/>
        <v>-1.2209097216438991</v>
      </c>
      <c r="E22" s="33">
        <v>-0.35218109638005046</v>
      </c>
      <c r="F22" s="34">
        <f t="shared" si="2"/>
        <v>0.86872862526384864</v>
      </c>
      <c r="G22" s="20">
        <f t="shared" si="0"/>
        <v>0.54762923621049109</v>
      </c>
    </row>
    <row r="23" spans="1:7" s="54" customFormat="1" x14ac:dyDescent="0.3">
      <c r="A23" s="47" t="s">
        <v>29</v>
      </c>
      <c r="B23" s="48">
        <v>20.243749251664099</v>
      </c>
      <c r="C23" s="48">
        <v>21.173881468293501</v>
      </c>
      <c r="D23" s="49">
        <f t="shared" si="1"/>
        <v>-0.93013221662940282</v>
      </c>
      <c r="E23" s="51">
        <v>-0.35218109638005046</v>
      </c>
      <c r="F23" s="52">
        <f t="shared" si="2"/>
        <v>0.57795112024935236</v>
      </c>
      <c r="G23" s="53">
        <f t="shared" si="0"/>
        <v>0.66991449810964854</v>
      </c>
    </row>
    <row r="24" spans="1:7" x14ac:dyDescent="0.3">
      <c r="A24" s="19" t="s">
        <v>30</v>
      </c>
      <c r="B24" s="12">
        <v>21.236725489418699</v>
      </c>
      <c r="C24" s="12">
        <v>21.030935047785349</v>
      </c>
      <c r="D24" s="17">
        <f t="shared" si="1"/>
        <v>0.2057904416333507</v>
      </c>
      <c r="E24" s="33">
        <f>AVERAGE(D24:D26)</f>
        <v>0.51658030721111692</v>
      </c>
      <c r="F24" s="34">
        <f t="shared" si="2"/>
        <v>0.31078986557776622</v>
      </c>
      <c r="G24" s="20">
        <f t="shared" si="0"/>
        <v>0.80620024929903833</v>
      </c>
    </row>
    <row r="25" spans="1:7" x14ac:dyDescent="0.3">
      <c r="A25" s="19" t="s">
        <v>31</v>
      </c>
      <c r="B25" s="12">
        <v>22.734767590000001</v>
      </c>
      <c r="C25" s="12">
        <v>21.756333229999999</v>
      </c>
      <c r="D25" s="17">
        <f t="shared" si="1"/>
        <v>0.97843436000000139</v>
      </c>
      <c r="E25" s="33">
        <v>0.51658030721111692</v>
      </c>
      <c r="F25" s="34">
        <f t="shared" si="2"/>
        <v>-0.46185405278888447</v>
      </c>
      <c r="G25" s="20">
        <f t="shared" si="0"/>
        <v>1.3773107065928667</v>
      </c>
    </row>
    <row r="26" spans="1:7" s="54" customFormat="1" x14ac:dyDescent="0.3">
      <c r="A26" s="47" t="s">
        <v>32</v>
      </c>
      <c r="B26" s="48">
        <v>21.346341809999998</v>
      </c>
      <c r="C26" s="48">
        <v>20.98082569</v>
      </c>
      <c r="D26" s="49">
        <f t="shared" si="1"/>
        <v>0.36551611999999878</v>
      </c>
      <c r="E26" s="51">
        <v>0.51658030721111692</v>
      </c>
      <c r="F26" s="52">
        <f t="shared" si="2"/>
        <v>0.15106418721111814</v>
      </c>
      <c r="G26" s="53">
        <f t="shared" si="0"/>
        <v>0.90058591082273709</v>
      </c>
    </row>
    <row r="27" spans="1:7" x14ac:dyDescent="0.3">
      <c r="A27" s="19" t="s">
        <v>33</v>
      </c>
      <c r="B27" s="12">
        <v>21.319567877593901</v>
      </c>
      <c r="C27" s="12">
        <v>20.344816753362551</v>
      </c>
      <c r="D27" s="17">
        <f t="shared" si="1"/>
        <v>0.97475112423135002</v>
      </c>
      <c r="E27" s="33">
        <f>AVERAGE(D27:D29)</f>
        <v>-0.75724352542604956</v>
      </c>
      <c r="F27" s="34">
        <f t="shared" si="2"/>
        <v>-1.7319946496573997</v>
      </c>
      <c r="G27" s="20">
        <f t="shared" si="0"/>
        <v>3.3218677769453122</v>
      </c>
    </row>
    <row r="28" spans="1:7" x14ac:dyDescent="0.3">
      <c r="A28" s="19" t="s">
        <v>34</v>
      </c>
      <c r="B28" s="12">
        <v>21.678849782243301</v>
      </c>
      <c r="C28" s="12">
        <v>23.565743183253598</v>
      </c>
      <c r="D28" s="17">
        <f t="shared" si="1"/>
        <v>-1.8868934010102976</v>
      </c>
      <c r="E28" s="33">
        <v>-0.75724352542604956</v>
      </c>
      <c r="F28" s="34">
        <f t="shared" si="2"/>
        <v>1.1296498755842479</v>
      </c>
      <c r="G28" s="20">
        <f t="shared" si="0"/>
        <v>0.45702662642135999</v>
      </c>
    </row>
    <row r="29" spans="1:7" s="54" customFormat="1" x14ac:dyDescent="0.3">
      <c r="A29" s="47" t="s">
        <v>35</v>
      </c>
      <c r="B29" s="48">
        <v>20.0560015104173</v>
      </c>
      <c r="C29" s="48">
        <v>21.415589809916501</v>
      </c>
      <c r="D29" s="49">
        <f t="shared" si="1"/>
        <v>-1.359588299499201</v>
      </c>
      <c r="E29" s="51">
        <v>-0.75724352542604956</v>
      </c>
      <c r="F29" s="52">
        <f t="shared" si="2"/>
        <v>0.60234477407315146</v>
      </c>
      <c r="G29" s="53">
        <f t="shared" si="0"/>
        <v>0.65868254564405904</v>
      </c>
    </row>
    <row r="30" spans="1:7" x14ac:dyDescent="0.3">
      <c r="A30" s="19" t="s">
        <v>36</v>
      </c>
      <c r="B30" s="12">
        <v>21.4673918434287</v>
      </c>
      <c r="C30" s="12">
        <v>21.241801744356099</v>
      </c>
      <c r="D30" s="17">
        <f t="shared" si="1"/>
        <v>0.22559009907260119</v>
      </c>
      <c r="E30" s="33">
        <f>AVERAGE(D30:D32)</f>
        <v>-0.75135209895919886</v>
      </c>
      <c r="F30" s="34">
        <f t="shared" si="2"/>
        <v>-0.97694219803180005</v>
      </c>
      <c r="G30" s="20">
        <f t="shared" si="0"/>
        <v>1.9682891824477355</v>
      </c>
    </row>
    <row r="31" spans="1:7" x14ac:dyDescent="0.3">
      <c r="A31" s="19" t="s">
        <v>37</v>
      </c>
      <c r="B31" s="12">
        <v>21.3151361584192</v>
      </c>
      <c r="C31" s="12">
        <v>22.164710390561499</v>
      </c>
      <c r="D31" s="17">
        <f t="shared" si="1"/>
        <v>-0.84957423214229877</v>
      </c>
      <c r="E31" s="33">
        <v>-0.75135209895919886</v>
      </c>
      <c r="F31" s="34">
        <f t="shared" si="2"/>
        <v>9.8222133183099913E-2</v>
      </c>
      <c r="G31" s="20">
        <f t="shared" si="0"/>
        <v>0.93418349865150585</v>
      </c>
    </row>
    <row r="32" spans="1:7" ht="16.2" thickBot="1" x14ac:dyDescent="0.35">
      <c r="A32" s="29" t="s">
        <v>38</v>
      </c>
      <c r="B32" s="13">
        <v>20.837181751361801</v>
      </c>
      <c r="C32" s="13">
        <v>22.467253915169699</v>
      </c>
      <c r="D32" s="21">
        <f t="shared" si="1"/>
        <v>-1.630072163807899</v>
      </c>
      <c r="E32" s="23">
        <v>-0.75135209895919886</v>
      </c>
      <c r="F32" s="24">
        <f t="shared" si="2"/>
        <v>0.87872006484870013</v>
      </c>
      <c r="G32" s="31">
        <f t="shared" si="0"/>
        <v>0.54384971175465402</v>
      </c>
    </row>
    <row r="33" spans="1:7" x14ac:dyDescent="0.3">
      <c r="A33" s="25"/>
      <c r="B33" s="14"/>
      <c r="C33" s="14"/>
      <c r="D33" s="26"/>
      <c r="E33" s="18"/>
      <c r="F33" s="17"/>
      <c r="G33" s="17"/>
    </row>
    <row r="34" spans="1:7" x14ac:dyDescent="0.3">
      <c r="A34" s="15"/>
      <c r="B34" s="16"/>
      <c r="C34" s="16"/>
      <c r="D34" s="17"/>
      <c r="E34" s="18"/>
      <c r="F34" s="17"/>
      <c r="G34" s="17"/>
    </row>
    <row r="35" spans="1:7" ht="16.2" thickBot="1" x14ac:dyDescent="0.35">
      <c r="A35" s="15"/>
      <c r="B35" s="16"/>
      <c r="C35" s="16"/>
      <c r="D35" s="17"/>
      <c r="E35" s="18"/>
      <c r="F35" s="17"/>
      <c r="G35" s="17"/>
    </row>
    <row r="36" spans="1:7" x14ac:dyDescent="0.3">
      <c r="A36" s="6" t="s">
        <v>11</v>
      </c>
      <c r="B36" s="7" t="s">
        <v>9</v>
      </c>
      <c r="C36" s="7" t="s">
        <v>8</v>
      </c>
      <c r="D36" s="7" t="s">
        <v>7</v>
      </c>
      <c r="E36" s="10"/>
      <c r="F36" s="9"/>
      <c r="G36" s="11"/>
    </row>
    <row r="37" spans="1:7" ht="16.2" thickBot="1" x14ac:dyDescent="0.35">
      <c r="A37" s="35" t="s">
        <v>0</v>
      </c>
      <c r="B37" s="36" t="s">
        <v>2</v>
      </c>
      <c r="C37" s="36" t="s">
        <v>2</v>
      </c>
      <c r="D37" s="36" t="s">
        <v>3</v>
      </c>
      <c r="E37" s="28" t="s">
        <v>66</v>
      </c>
      <c r="F37" s="37" t="s">
        <v>67</v>
      </c>
      <c r="G37" s="38" t="s">
        <v>68</v>
      </c>
    </row>
    <row r="38" spans="1:7" x14ac:dyDescent="0.3">
      <c r="A38" s="39" t="s">
        <v>39</v>
      </c>
      <c r="B38" s="40">
        <v>23.358142352458799</v>
      </c>
      <c r="C38" s="40">
        <v>23.047640019838401</v>
      </c>
      <c r="D38" s="41">
        <f>B38-C38</f>
        <v>0.31050233262039839</v>
      </c>
      <c r="E38" s="43"/>
      <c r="F38" s="44">
        <f>D38-E6</f>
        <v>-0.24672141719656793</v>
      </c>
      <c r="G38" s="45">
        <f t="shared" ref="G38:G64" si="3">(2^(-F38))</f>
        <v>1.1865076622280208</v>
      </c>
    </row>
    <row r="39" spans="1:7" x14ac:dyDescent="0.3">
      <c r="A39" s="19" t="s">
        <v>40</v>
      </c>
      <c r="B39" s="12">
        <v>22.441882079999999</v>
      </c>
      <c r="C39" s="12">
        <v>22.470004589999999</v>
      </c>
      <c r="D39" s="17">
        <f t="shared" ref="D39:D64" si="4">B39-C39</f>
        <v>-2.8122509999999323E-2</v>
      </c>
      <c r="E39" s="33"/>
      <c r="F39" s="34">
        <f t="shared" ref="F39:F64" si="5">D39-E7</f>
        <v>-0.58534625981696564</v>
      </c>
      <c r="G39" s="20">
        <f t="shared" si="3"/>
        <v>1.50039905537523</v>
      </c>
    </row>
    <row r="40" spans="1:7" s="54" customFormat="1" x14ac:dyDescent="0.3">
      <c r="A40" s="47" t="s">
        <v>41</v>
      </c>
      <c r="B40" s="48">
        <v>22.717355309999999</v>
      </c>
      <c r="C40" s="48">
        <v>21.849820090000001</v>
      </c>
      <c r="D40" s="49">
        <f t="shared" si="4"/>
        <v>0.86753521999999705</v>
      </c>
      <c r="E40" s="51"/>
      <c r="F40" s="52">
        <f t="shared" si="5"/>
        <v>0.31031147018303074</v>
      </c>
      <c r="G40" s="53">
        <f t="shared" si="3"/>
        <v>0.80646762835593289</v>
      </c>
    </row>
    <row r="41" spans="1:7" x14ac:dyDescent="0.3">
      <c r="A41" s="19" t="s">
        <v>42</v>
      </c>
      <c r="B41" s="12">
        <v>23.643672884203301</v>
      </c>
      <c r="C41" s="12">
        <v>23.644570563811701</v>
      </c>
      <c r="D41" s="17">
        <f t="shared" si="4"/>
        <v>-8.9767960839992611E-4</v>
      </c>
      <c r="E41" s="33"/>
      <c r="F41" s="34">
        <f t="shared" si="5"/>
        <v>-0.34341475726921783</v>
      </c>
      <c r="G41" s="20">
        <f t="shared" si="3"/>
        <v>1.268756098839926</v>
      </c>
    </row>
    <row r="42" spans="1:7" x14ac:dyDescent="0.3">
      <c r="A42" s="19" t="s">
        <v>43</v>
      </c>
      <c r="B42" s="12">
        <v>22.573469288304501</v>
      </c>
      <c r="C42" s="12">
        <v>23.0605329864803</v>
      </c>
      <c r="D42" s="17">
        <f t="shared" si="4"/>
        <v>-0.48706369817579898</v>
      </c>
      <c r="E42" s="33"/>
      <c r="F42" s="34">
        <f t="shared" si="5"/>
        <v>-0.82958077583661693</v>
      </c>
      <c r="G42" s="20">
        <f t="shared" si="3"/>
        <v>1.7771688703722857</v>
      </c>
    </row>
    <row r="43" spans="1:7" s="54" customFormat="1" x14ac:dyDescent="0.3">
      <c r="A43" s="47" t="s">
        <v>44</v>
      </c>
      <c r="B43" s="48">
        <v>22.230617544006499</v>
      </c>
      <c r="C43" s="48">
        <v>23.063525139965702</v>
      </c>
      <c r="D43" s="49">
        <f t="shared" si="4"/>
        <v>-0.8329075959592025</v>
      </c>
      <c r="E43" s="51"/>
      <c r="F43" s="52">
        <f t="shared" si="5"/>
        <v>-1.1754246736200205</v>
      </c>
      <c r="G43" s="53">
        <f t="shared" si="3"/>
        <v>2.2585935543552602</v>
      </c>
    </row>
    <row r="44" spans="1:7" x14ac:dyDescent="0.3">
      <c r="A44" s="19" t="s">
        <v>45</v>
      </c>
      <c r="B44" s="12">
        <v>22.3195223424507</v>
      </c>
      <c r="C44" s="12">
        <v>21.733575024361897</v>
      </c>
      <c r="D44" s="17">
        <f t="shared" si="4"/>
        <v>0.5859473180888024</v>
      </c>
      <c r="E44" s="33"/>
      <c r="F44" s="34">
        <f t="shared" si="5"/>
        <v>1.4256136683016849</v>
      </c>
      <c r="G44" s="20">
        <f t="shared" si="3"/>
        <v>0.37226098625240106</v>
      </c>
    </row>
    <row r="45" spans="1:7" x14ac:dyDescent="0.3">
      <c r="A45" s="19" t="s">
        <v>46</v>
      </c>
      <c r="B45" s="12">
        <v>20.7854175801601</v>
      </c>
      <c r="C45" s="12">
        <v>22.131930155075398</v>
      </c>
      <c r="D45" s="17">
        <f t="shared" si="4"/>
        <v>-1.3465125749152982</v>
      </c>
      <c r="E45" s="33"/>
      <c r="F45" s="34">
        <f t="shared" si="5"/>
        <v>-0.50684622470241558</v>
      </c>
      <c r="G45" s="20">
        <f t="shared" si="3"/>
        <v>1.4209405785962053</v>
      </c>
    </row>
    <row r="46" spans="1:7" s="54" customFormat="1" x14ac:dyDescent="0.3">
      <c r="A46" s="57" t="s">
        <v>47</v>
      </c>
      <c r="B46" s="48">
        <v>21.327965162203601</v>
      </c>
      <c r="C46" s="48">
        <v>22.5010919495408</v>
      </c>
      <c r="D46" s="49">
        <f t="shared" si="4"/>
        <v>-1.1731267873371998</v>
      </c>
      <c r="E46" s="51"/>
      <c r="F46" s="52">
        <f t="shared" si="5"/>
        <v>-0.33346043712431717</v>
      </c>
      <c r="G46" s="53">
        <f t="shared" si="3"/>
        <v>1.2600320558883651</v>
      </c>
    </row>
    <row r="47" spans="1:7" x14ac:dyDescent="0.3">
      <c r="A47" s="19" t="s">
        <v>49</v>
      </c>
      <c r="B47" s="12">
        <v>22.219693348318</v>
      </c>
      <c r="C47" s="12">
        <v>22.149981926511401</v>
      </c>
      <c r="D47" s="17">
        <f t="shared" si="4"/>
        <v>6.9711421806598395E-2</v>
      </c>
      <c r="E47" s="33"/>
      <c r="F47" s="34">
        <f t="shared" si="5"/>
        <v>-0.78278914449988457</v>
      </c>
      <c r="G47" s="20">
        <f t="shared" si="3"/>
        <v>1.7204537918231622</v>
      </c>
    </row>
    <row r="48" spans="1:7" x14ac:dyDescent="0.3">
      <c r="A48" s="19" t="s">
        <v>50</v>
      </c>
      <c r="B48" s="12">
        <v>21.479332150000001</v>
      </c>
      <c r="C48" s="12">
        <v>21.002135989999999</v>
      </c>
      <c r="D48" s="17">
        <f t="shared" si="4"/>
        <v>0.47719616000000187</v>
      </c>
      <c r="E48" s="33"/>
      <c r="F48" s="34">
        <f t="shared" si="5"/>
        <v>-0.3753044063064811</v>
      </c>
      <c r="G48" s="20">
        <f t="shared" si="3"/>
        <v>1.2971132145570716</v>
      </c>
    </row>
    <row r="49" spans="1:7" s="54" customFormat="1" x14ac:dyDescent="0.3">
      <c r="A49" s="47" t="s">
        <v>51</v>
      </c>
      <c r="B49" s="48">
        <v>22.449259529999999</v>
      </c>
      <c r="C49" s="48">
        <v>22.34872897</v>
      </c>
      <c r="D49" s="49">
        <f t="shared" si="4"/>
        <v>0.10053055999999927</v>
      </c>
      <c r="E49" s="51"/>
      <c r="F49" s="52">
        <f t="shared" si="5"/>
        <v>-0.7519700063064837</v>
      </c>
      <c r="G49" s="53">
        <f t="shared" si="3"/>
        <v>1.6840908945289177</v>
      </c>
    </row>
    <row r="50" spans="1:7" x14ac:dyDescent="0.3">
      <c r="A50" s="19" t="s">
        <v>52</v>
      </c>
      <c r="B50" s="12">
        <v>22.6639954924104</v>
      </c>
      <c r="C50" s="12">
        <v>21.5118885903304</v>
      </c>
      <c r="D50" s="17">
        <f t="shared" si="4"/>
        <v>1.1521069020799999</v>
      </c>
      <c r="E50" s="33"/>
      <c r="F50" s="34">
        <f t="shared" si="5"/>
        <v>0.24559737548445071</v>
      </c>
      <c r="G50" s="20">
        <f t="shared" si="3"/>
        <v>0.84346647038258171</v>
      </c>
    </row>
    <row r="51" spans="1:7" x14ac:dyDescent="0.3">
      <c r="A51" s="19" t="s">
        <v>53</v>
      </c>
      <c r="B51" s="12">
        <v>20.5967119233636</v>
      </c>
      <c r="C51" s="12">
        <v>22.216409733620299</v>
      </c>
      <c r="D51" s="17">
        <f t="shared" si="4"/>
        <v>-1.6196978102566995</v>
      </c>
      <c r="E51" s="33"/>
      <c r="F51" s="34">
        <f t="shared" si="5"/>
        <v>-2.5262073368522486</v>
      </c>
      <c r="G51" s="20">
        <f t="shared" si="3"/>
        <v>5.7605530921982941</v>
      </c>
    </row>
    <row r="52" spans="1:7" s="54" customFormat="1" x14ac:dyDescent="0.3">
      <c r="A52" s="47" t="s">
        <v>54</v>
      </c>
      <c r="B52" s="48">
        <v>20.477870939370149</v>
      </c>
      <c r="C52" s="48">
        <v>22.4348852602111</v>
      </c>
      <c r="D52" s="49">
        <f t="shared" si="4"/>
        <v>-1.9570143208409512</v>
      </c>
      <c r="E52" s="51"/>
      <c r="F52" s="52">
        <f t="shared" si="5"/>
        <v>-2.8635238474365003</v>
      </c>
      <c r="G52" s="53">
        <f t="shared" si="3"/>
        <v>7.2779081676982811</v>
      </c>
    </row>
    <row r="53" spans="1:7" x14ac:dyDescent="0.3">
      <c r="A53" s="19" t="s">
        <v>55</v>
      </c>
      <c r="B53" s="12">
        <v>22.912954818890999</v>
      </c>
      <c r="C53" s="12">
        <v>22.881118108919601</v>
      </c>
      <c r="D53" s="17">
        <f t="shared" si="4"/>
        <v>3.1836709971397426E-2</v>
      </c>
      <c r="E53" s="33"/>
      <c r="F53" s="34">
        <f t="shared" si="5"/>
        <v>0.38401780635144789</v>
      </c>
      <c r="G53" s="20">
        <f t="shared" si="3"/>
        <v>0.76630052204087074</v>
      </c>
    </row>
    <row r="54" spans="1:7" x14ac:dyDescent="0.3">
      <c r="A54" s="19" t="s">
        <v>56</v>
      </c>
      <c r="B54" s="12">
        <v>22.2507796074295</v>
      </c>
      <c r="C54" s="12">
        <v>24.250507173621699</v>
      </c>
      <c r="D54" s="17">
        <f t="shared" si="4"/>
        <v>-1.9997275661921989</v>
      </c>
      <c r="E54" s="33"/>
      <c r="F54" s="34">
        <f t="shared" si="5"/>
        <v>-1.6475464698121485</v>
      </c>
      <c r="G54" s="20">
        <f t="shared" si="3"/>
        <v>3.1330036919974464</v>
      </c>
    </row>
    <row r="55" spans="1:7" s="54" customFormat="1" x14ac:dyDescent="0.3">
      <c r="A55" s="47" t="s">
        <v>57</v>
      </c>
      <c r="B55" s="48">
        <v>21.688351096602499</v>
      </c>
      <c r="C55" s="48">
        <v>23.270692615402901</v>
      </c>
      <c r="D55" s="49">
        <f t="shared" si="4"/>
        <v>-1.5823415188004013</v>
      </c>
      <c r="E55" s="51"/>
      <c r="F55" s="52">
        <f t="shared" si="5"/>
        <v>-1.2301604224203508</v>
      </c>
      <c r="G55" s="53">
        <f t="shared" si="3"/>
        <v>2.3459307428931413</v>
      </c>
    </row>
    <row r="56" spans="1:7" x14ac:dyDescent="0.3">
      <c r="A56" s="19" t="s">
        <v>58</v>
      </c>
      <c r="B56" s="12">
        <v>21.313555079510301</v>
      </c>
      <c r="C56" s="12">
        <v>21.0258992269288</v>
      </c>
      <c r="D56" s="17">
        <f t="shared" si="4"/>
        <v>0.28765585258150139</v>
      </c>
      <c r="E56" s="33"/>
      <c r="F56" s="34">
        <f t="shared" si="5"/>
        <v>-0.22892445462961553</v>
      </c>
      <c r="G56" s="20">
        <f t="shared" si="3"/>
        <v>1.1719609134355715</v>
      </c>
    </row>
    <row r="57" spans="1:7" x14ac:dyDescent="0.3">
      <c r="A57" s="19" t="s">
        <v>59</v>
      </c>
      <c r="B57" s="12">
        <v>21.318573090000001</v>
      </c>
      <c r="C57" s="12">
        <v>20.532686590000001</v>
      </c>
      <c r="D57" s="17">
        <f t="shared" si="4"/>
        <v>0.78588650000000015</v>
      </c>
      <c r="E57" s="33"/>
      <c r="F57" s="34">
        <f t="shared" si="5"/>
        <v>0.26930619278888324</v>
      </c>
      <c r="G57" s="20">
        <f t="shared" si="3"/>
        <v>0.8297184702178092</v>
      </c>
    </row>
    <row r="58" spans="1:7" s="54" customFormat="1" x14ac:dyDescent="0.3">
      <c r="A58" s="47" t="s">
        <v>60</v>
      </c>
      <c r="B58" s="48">
        <v>22.11668676</v>
      </c>
      <c r="C58" s="48">
        <v>21.225312429999999</v>
      </c>
      <c r="D58" s="49">
        <f t="shared" si="4"/>
        <v>0.89137433000000144</v>
      </c>
      <c r="E58" s="51"/>
      <c r="F58" s="52">
        <f t="shared" si="5"/>
        <v>0.37479402278888452</v>
      </c>
      <c r="G58" s="53">
        <f t="shared" si="3"/>
        <v>0.7712155132288302</v>
      </c>
    </row>
    <row r="59" spans="1:7" x14ac:dyDescent="0.3">
      <c r="A59" s="19" t="s">
        <v>61</v>
      </c>
      <c r="B59" s="46">
        <v>22.772145458871702</v>
      </c>
      <c r="C59" s="46">
        <v>21.688338106536101</v>
      </c>
      <c r="D59" s="17">
        <f t="shared" si="4"/>
        <v>1.0838073523356009</v>
      </c>
      <c r="E59" s="33"/>
      <c r="F59" s="34">
        <f t="shared" si="5"/>
        <v>1.8410508777616506</v>
      </c>
      <c r="G59" s="20">
        <f t="shared" si="3"/>
        <v>0.27911839699491825</v>
      </c>
    </row>
    <row r="60" spans="1:7" x14ac:dyDescent="0.3">
      <c r="A60" s="19" t="s">
        <v>62</v>
      </c>
      <c r="B60" s="46">
        <v>20.913504268942798</v>
      </c>
      <c r="C60" s="46">
        <v>22.917971092062551</v>
      </c>
      <c r="D60" s="17">
        <f t="shared" si="4"/>
        <v>-2.0044668231197527</v>
      </c>
      <c r="E60" s="33"/>
      <c r="F60" s="34">
        <f t="shared" si="5"/>
        <v>-1.247223297693703</v>
      </c>
      <c r="G60" s="20">
        <f t="shared" si="3"/>
        <v>2.3738409856363991</v>
      </c>
    </row>
    <row r="61" spans="1:7" s="54" customFormat="1" x14ac:dyDescent="0.3">
      <c r="A61" s="47" t="s">
        <v>63</v>
      </c>
      <c r="B61" s="55">
        <v>19.652925696011099</v>
      </c>
      <c r="C61" s="55">
        <v>21.625282375221499</v>
      </c>
      <c r="D61" s="49">
        <f t="shared" si="4"/>
        <v>-1.9723566792103995</v>
      </c>
      <c r="E61" s="51"/>
      <c r="F61" s="52">
        <f t="shared" si="5"/>
        <v>-1.2151131537843498</v>
      </c>
      <c r="G61" s="53">
        <f t="shared" si="3"/>
        <v>2.3215899090926673</v>
      </c>
    </row>
    <row r="62" spans="1:7" x14ac:dyDescent="0.3">
      <c r="A62" s="19" t="s">
        <v>64</v>
      </c>
      <c r="B62" s="12">
        <v>21.682802784241002</v>
      </c>
      <c r="C62" s="12">
        <v>20.593000839074399</v>
      </c>
      <c r="D62" s="17">
        <f t="shared" si="4"/>
        <v>1.0898019451666023</v>
      </c>
      <c r="E62" s="33"/>
      <c r="F62" s="34">
        <f t="shared" si="5"/>
        <v>1.8411540441258012</v>
      </c>
      <c r="G62" s="20">
        <f t="shared" si="3"/>
        <v>0.27909843809867629</v>
      </c>
    </row>
    <row r="63" spans="1:7" x14ac:dyDescent="0.3">
      <c r="A63" s="19" t="s">
        <v>65</v>
      </c>
      <c r="B63" s="12">
        <v>21.718473639880301</v>
      </c>
      <c r="C63" s="12">
        <v>22.938666322646199</v>
      </c>
      <c r="D63" s="17">
        <f t="shared" si="4"/>
        <v>-1.220192682765898</v>
      </c>
      <c r="E63" s="33"/>
      <c r="F63" s="34">
        <f t="shared" si="5"/>
        <v>-0.46884058380669913</v>
      </c>
      <c r="G63" s="20">
        <f t="shared" si="3"/>
        <v>1.3839967775012163</v>
      </c>
    </row>
    <row r="64" spans="1:7" ht="16.2" thickBot="1" x14ac:dyDescent="0.35">
      <c r="A64" s="29" t="s">
        <v>48</v>
      </c>
      <c r="B64" s="13">
        <v>20.389046333576001</v>
      </c>
      <c r="C64" s="30">
        <v>21.559603263312599</v>
      </c>
      <c r="D64" s="21">
        <f t="shared" si="4"/>
        <v>-1.1705569297365983</v>
      </c>
      <c r="E64" s="23"/>
      <c r="F64" s="24">
        <f t="shared" si="5"/>
        <v>-0.41920483077739945</v>
      </c>
      <c r="G64" s="31">
        <f t="shared" si="3"/>
        <v>1.3371903333715538</v>
      </c>
    </row>
    <row r="65" spans="1:7" x14ac:dyDescent="0.3">
      <c r="A65" s="15"/>
      <c r="B65" s="16"/>
      <c r="C65" s="15"/>
      <c r="D65" s="17"/>
      <c r="E65" s="18"/>
      <c r="F65" s="17"/>
      <c r="G65" s="17"/>
    </row>
    <row r="66" spans="1:7" x14ac:dyDescent="0.3">
      <c r="A66" s="19"/>
      <c r="B66" s="12"/>
      <c r="C66" s="12"/>
      <c r="D66" s="17"/>
      <c r="E66" s="12"/>
      <c r="F66" s="12"/>
      <c r="G66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RANKED</vt:lpstr>
      <vt:lpstr>UNRANKED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Parekh, Fenali</dc:creator>
  <cp:keywords/>
  <dc:description/>
  <cp:lastModifiedBy>Hannay, Del</cp:lastModifiedBy>
  <cp:revision/>
  <dcterms:created xsi:type="dcterms:W3CDTF">2020-10-14T17:36:14Z</dcterms:created>
  <dcterms:modified xsi:type="dcterms:W3CDTF">2024-04-04T18:53:38Z</dcterms:modified>
  <cp:category/>
  <cp:contentStatus/>
</cp:coreProperties>
</file>