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tanaedu-my.sharepoint.com/personal/p82d435_student_montana_edu/Documents/USACE/Sequenced F2 Population/"/>
    </mc:Choice>
  </mc:AlternateContent>
  <xr:revisionPtr revIDLastSave="200" documentId="13_ncr:1_{038EB198-50DA-4F44-B667-26B4E70AC332}" xr6:coauthVersionLast="47" xr6:coauthVersionMax="47" xr10:uidLastSave="{E4264C2A-CCD9-422D-B4C7-8B314EBF17DF}"/>
  <bookViews>
    <workbookView xWindow="-120" yWindow="-120" windowWidth="25440" windowHeight="15270" xr2:uid="{166DB923-00E3-46A7-94B6-2305AF2674B4}"/>
  </bookViews>
  <sheets>
    <sheet name="All Individuals Ranked" sheetId="1" r:id="rId1"/>
    <sheet name="Tank1" sheetId="3" r:id="rId2"/>
    <sheet name="Tank2" sheetId="4" r:id="rId3"/>
    <sheet name="Tank3" sheetId="5" r:id="rId4"/>
    <sheet name="Tank4" sheetId="6" r:id="rId5"/>
    <sheet name="Tank5" sheetId="7" r:id="rId6"/>
    <sheet name="Quantiles" sheetId="2" r:id="rId7"/>
    <sheet name="Sequenced Individuals Ranked" sheetId="8" r:id="rId8"/>
    <sheet name="cleaned sequenced" sheetId="10" r:id="rId9"/>
    <sheet name="Bulks" sheetId="9" r:id="rId10"/>
  </sheets>
  <definedNames>
    <definedName name="_xlchart.v1.0" hidden="1">'cleaned sequenced'!$D$1</definedName>
    <definedName name="_xlchart.v1.1" hidden="1">'cleaned sequenced'!$D$2:$D$138</definedName>
    <definedName name="_xlchart.v1.2" hidden="1">'cleaned sequenced'!$D$129:$D$138</definedName>
    <definedName name="_xlchart.v1.3" hidden="1">'cleaned sequenced'!$D$2:$D$11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2" i="4"/>
  <c r="F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2" i="3"/>
  <c r="F2" i="3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2" i="5"/>
  <c r="F2" i="5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2" i="6"/>
  <c r="F2" i="6"/>
  <c r="F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2" i="7"/>
</calcChain>
</file>

<file path=xl/sharedStrings.xml><?xml version="1.0" encoding="utf-8"?>
<sst xmlns="http://schemas.openxmlformats.org/spreadsheetml/2006/main" count="56" uniqueCount="18">
  <si>
    <t>Tank</t>
  </si>
  <si>
    <t>x.0%</t>
  </si>
  <si>
    <t>x.25%</t>
  </si>
  <si>
    <t>x.50%</t>
  </si>
  <si>
    <t>x.75%</t>
  </si>
  <si>
    <t>x.100%</t>
  </si>
  <si>
    <t>Sample</t>
  </si>
  <si>
    <t>Weight (g)</t>
  </si>
  <si>
    <t>-</t>
  </si>
  <si>
    <t>Tank Average Biomass</t>
  </si>
  <si>
    <t>Residuals</t>
  </si>
  <si>
    <t xml:space="preserve">DNA Concentration </t>
  </si>
  <si>
    <t>Rank</t>
  </si>
  <si>
    <t>Biomass (g)</t>
  </si>
  <si>
    <t>Individual</t>
  </si>
  <si>
    <t>Highlighted Individuals were sent to HudsonAlpha</t>
  </si>
  <si>
    <t>Resistant Bulk</t>
  </si>
  <si>
    <t>Sensitive 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</si>
</sst>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18" fillId="36" borderId="0" xfId="0" applyFont="1" applyFill="1"/>
    <xf numFmtId="0" fontId="0" fillId="36" borderId="0" xfId="0" applyFill="1"/>
    <xf numFmtId="0" fontId="18" fillId="0" borderId="10" xfId="0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/>
    <xf numFmtId="0" fontId="18" fillId="33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16A9BE30-60A3-4FF2-A2D3-43040B2123D4}">
          <cx:tx>
            <cx:txData>
              <cx:f>_xlchart.v1.0</cx:f>
              <cx:v>Weight (g)</cx:v>
            </cx:txData>
          </cx:tx>
          <cx:spPr>
            <a:solidFill>
              <a:schemeClr val="tx1">
                <a:lumMod val="65000"/>
                <a:lumOff val="35000"/>
              </a:schemeClr>
            </a:solidFill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.150000006"/>
        <cx:title>
          <cx:tx>
            <cx:txData>
              <cx:v>Biomass (g)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/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Biomass (g)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/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_xlchart.v1.2</cx:f>
      </cx:numDim>
    </cx:data>
  </cx:chartData>
  <cx:chart>
    <cx:plotArea>
      <cx:plotAreaRegion>
        <cx:series layoutId="boxWhisker" uniqueId="{00000007-FCFB-4FE2-AEF8-F07C8323F332}" formatIdx="1">
          <cx:tx>
            <cx:txData>
              <cx:f/>
              <cx:v>Susceptible Bulk</cx:v>
            </cx:txData>
          </cx:tx>
          <cx:spPr>
            <a:noFill/>
            <a:ln w="19050">
              <a:solidFill>
                <a:schemeClr val="accent2">
                  <a:lumMod val="75000"/>
                </a:schemeClr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0-DDCA-4C94-88C2-024EA4A055B1}">
          <cx:tx>
            <cx:txData>
              <cx:f/>
              <cx:v>Resistant Bulk</cx:v>
            </cx:txData>
          </cx:tx>
          <cx:spPr>
            <a:noFill/>
            <a:ln w="19050">
              <a:solidFill>
                <a:srgbClr val="00B050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3.5"/>
        <cx:title>
          <cx:tx>
            <cx:txData>
              <cx:v>Dry Biomass (g)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/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Dry Biomass (g)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568325</xdr:colOff>
      <xdr:row>5</xdr:row>
      <xdr:rowOff>3175</xdr:rowOff>
    </xdr:from>
    <xdr:to>
      <xdr:col>25</xdr:col>
      <xdr:colOff>222250</xdr:colOff>
      <xdr:row>37</xdr:row>
      <xdr:rowOff>133351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9396C0C-DF47-2BAB-FDD8-4AEFE3BD2C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4425" y="1003300"/>
              <a:ext cx="10302875" cy="6530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438150</xdr:colOff>
      <xdr:row>7</xdr:row>
      <xdr:rowOff>130174</xdr:rowOff>
    </xdr:from>
    <xdr:to>
      <xdr:col>13</xdr:col>
      <xdr:colOff>781050</xdr:colOff>
      <xdr:row>34</xdr:row>
      <xdr:rowOff>114299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C25E85-28DE-B452-DB4D-CCFFF16927AC}"/>
            </a:ext>
          </a:extLst>
        </xdr:cNvPr>
        <xdr:cNvSpPr/>
      </xdr:nvSpPr>
      <xdr:spPr>
        <a:xfrm>
          <a:off x="11963400" y="1552574"/>
          <a:ext cx="342900" cy="5470525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568326</xdr:colOff>
      <xdr:row>25</xdr:row>
      <xdr:rowOff>92076</xdr:rowOff>
    </xdr:from>
    <xdr:to>
      <xdr:col>25</xdr:col>
      <xdr:colOff>101600</xdr:colOff>
      <xdr:row>34</xdr:row>
      <xdr:rowOff>139700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990F9A6-EB6C-4689-B0EA-5A9E20FB5DAE}"/>
            </a:ext>
          </a:extLst>
        </xdr:cNvPr>
        <xdr:cNvSpPr/>
      </xdr:nvSpPr>
      <xdr:spPr>
        <a:xfrm>
          <a:off x="17008476" y="5172076"/>
          <a:ext cx="4448174" cy="1876424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457200</xdr:colOff>
      <xdr:row>5</xdr:row>
      <xdr:rowOff>0</xdr:rowOff>
    </xdr:from>
    <xdr:to>
      <xdr:col>25</xdr:col>
      <xdr:colOff>225424</xdr:colOff>
      <xdr:row>25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B8E8F5D-CD68-9667-8A0F-B54AA958C2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16500" y="1000125"/>
              <a:ext cx="3863974" cy="4038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"/>
  <sheetViews>
    <sheetView tabSelected="1" zoomScale="80" zoomScaleNormal="80" workbookViewId="0">
      <selection activeCell="I16" sqref="I16"/>
    </sheetView>
  </sheetViews>
  <sheetFormatPr defaultColWidth="10.75" defaultRowHeight="15.75" x14ac:dyDescent="0.25"/>
  <cols>
    <col min="4" max="4" width="15.25" customWidth="1"/>
  </cols>
  <sheetData>
    <row r="1" spans="1:5" ht="16.5" thickBot="1" x14ac:dyDescent="0.3">
      <c r="A1" s="8" t="s">
        <v>6</v>
      </c>
      <c r="B1" s="8" t="s">
        <v>13</v>
      </c>
      <c r="C1" s="8" t="s">
        <v>0</v>
      </c>
      <c r="D1" s="9" t="s">
        <v>10</v>
      </c>
      <c r="E1" s="8" t="s">
        <v>12</v>
      </c>
    </row>
    <row r="2" spans="1:5" x14ac:dyDescent="0.25">
      <c r="A2">
        <v>117</v>
      </c>
      <c r="B2">
        <v>1E-3</v>
      </c>
      <c r="C2">
        <v>3</v>
      </c>
      <c r="D2">
        <v>-0.61709999999999998</v>
      </c>
      <c r="E2">
        <v>16</v>
      </c>
    </row>
    <row r="3" spans="1:5" x14ac:dyDescent="0.25">
      <c r="A3">
        <v>169</v>
      </c>
      <c r="B3">
        <v>2E-3</v>
      </c>
      <c r="C3">
        <v>5</v>
      </c>
      <c r="D3">
        <v>-0.64482456099999996</v>
      </c>
      <c r="E3">
        <v>5</v>
      </c>
    </row>
    <row r="4" spans="1:5" x14ac:dyDescent="0.25">
      <c r="A4">
        <v>96</v>
      </c>
      <c r="B4">
        <v>3.0000000000000001E-3</v>
      </c>
      <c r="C4">
        <v>2</v>
      </c>
      <c r="D4">
        <v>-0.68484210499999998</v>
      </c>
      <c r="E4">
        <v>1</v>
      </c>
    </row>
    <row r="5" spans="1:5" x14ac:dyDescent="0.25">
      <c r="A5">
        <v>211</v>
      </c>
      <c r="B5">
        <v>4.0000000000000001E-3</v>
      </c>
      <c r="C5">
        <v>5</v>
      </c>
      <c r="D5">
        <v>-0.64282456099999996</v>
      </c>
      <c r="E5">
        <v>7</v>
      </c>
    </row>
    <row r="6" spans="1:5" x14ac:dyDescent="0.25">
      <c r="A6">
        <v>320</v>
      </c>
      <c r="B6">
        <v>8.9999999999999993E-3</v>
      </c>
      <c r="C6">
        <v>4</v>
      </c>
      <c r="D6">
        <v>-0.63051428600000003</v>
      </c>
      <c r="E6">
        <v>11</v>
      </c>
    </row>
    <row r="7" spans="1:5" x14ac:dyDescent="0.25">
      <c r="A7">
        <v>263</v>
      </c>
      <c r="B7">
        <v>0.01</v>
      </c>
      <c r="C7">
        <v>2</v>
      </c>
      <c r="D7">
        <v>-0.67784210499999997</v>
      </c>
      <c r="E7">
        <v>2</v>
      </c>
    </row>
    <row r="8" spans="1:5" x14ac:dyDescent="0.25">
      <c r="A8">
        <v>255</v>
      </c>
      <c r="B8">
        <v>1.2E-2</v>
      </c>
      <c r="C8">
        <v>1</v>
      </c>
      <c r="D8">
        <v>-0.57370270300000004</v>
      </c>
      <c r="E8">
        <v>34</v>
      </c>
    </row>
    <row r="9" spans="1:5" x14ac:dyDescent="0.25">
      <c r="A9">
        <v>149</v>
      </c>
      <c r="B9">
        <v>1.6E-2</v>
      </c>
      <c r="C9">
        <v>4</v>
      </c>
      <c r="D9">
        <v>-0.62351428600000003</v>
      </c>
      <c r="E9">
        <v>13</v>
      </c>
    </row>
    <row r="10" spans="1:5" x14ac:dyDescent="0.25">
      <c r="A10">
        <v>123</v>
      </c>
      <c r="B10">
        <v>1.7999999999999999E-2</v>
      </c>
      <c r="C10">
        <v>4</v>
      </c>
      <c r="D10">
        <v>-0.62151428600000003</v>
      </c>
      <c r="E10">
        <v>15</v>
      </c>
    </row>
    <row r="11" spans="1:5" x14ac:dyDescent="0.25">
      <c r="A11">
        <v>92</v>
      </c>
      <c r="B11">
        <v>2.1000000000000001E-2</v>
      </c>
      <c r="C11">
        <v>5</v>
      </c>
      <c r="D11">
        <v>-0.62582456099999995</v>
      </c>
      <c r="E11">
        <v>12</v>
      </c>
    </row>
    <row r="12" spans="1:5" x14ac:dyDescent="0.25">
      <c r="A12">
        <v>267</v>
      </c>
      <c r="B12">
        <v>2.1999999999999999E-2</v>
      </c>
      <c r="C12">
        <v>2</v>
      </c>
      <c r="D12">
        <v>-0.66584210499999996</v>
      </c>
      <c r="E12">
        <v>3</v>
      </c>
    </row>
    <row r="13" spans="1:5" x14ac:dyDescent="0.25">
      <c r="A13">
        <v>304</v>
      </c>
      <c r="B13">
        <v>2.3E-2</v>
      </c>
      <c r="C13">
        <v>2</v>
      </c>
      <c r="D13">
        <v>-0.66484210499999996</v>
      </c>
      <c r="E13">
        <v>4</v>
      </c>
    </row>
    <row r="14" spans="1:5" x14ac:dyDescent="0.25">
      <c r="A14">
        <v>209</v>
      </c>
      <c r="B14">
        <v>2.4E-2</v>
      </c>
      <c r="C14">
        <v>5</v>
      </c>
      <c r="D14">
        <v>-0.62282456099999994</v>
      </c>
      <c r="E14">
        <v>14</v>
      </c>
    </row>
    <row r="15" spans="1:5" x14ac:dyDescent="0.25">
      <c r="A15">
        <v>159</v>
      </c>
      <c r="B15">
        <v>2.5000000000000001E-2</v>
      </c>
      <c r="C15">
        <v>3</v>
      </c>
      <c r="D15">
        <v>-0.59309999999999996</v>
      </c>
      <c r="E15">
        <v>25</v>
      </c>
    </row>
    <row r="16" spans="1:5" x14ac:dyDescent="0.25">
      <c r="A16">
        <v>277</v>
      </c>
      <c r="B16">
        <v>2.7E-2</v>
      </c>
      <c r="C16">
        <v>1</v>
      </c>
      <c r="D16">
        <v>-0.55870270300000002</v>
      </c>
      <c r="E16">
        <v>41</v>
      </c>
    </row>
    <row r="17" spans="1:5" x14ac:dyDescent="0.25">
      <c r="A17">
        <v>187</v>
      </c>
      <c r="B17">
        <v>0.03</v>
      </c>
      <c r="C17">
        <v>5</v>
      </c>
      <c r="D17">
        <v>-0.61682456099999994</v>
      </c>
      <c r="E17">
        <v>17</v>
      </c>
    </row>
    <row r="18" spans="1:5" x14ac:dyDescent="0.25">
      <c r="A18">
        <v>214</v>
      </c>
      <c r="B18">
        <v>3.1E-2</v>
      </c>
      <c r="C18">
        <v>4</v>
      </c>
      <c r="D18">
        <v>-0.60851428600000002</v>
      </c>
      <c r="E18">
        <v>19</v>
      </c>
    </row>
    <row r="19" spans="1:5" x14ac:dyDescent="0.25">
      <c r="A19">
        <v>147</v>
      </c>
      <c r="B19">
        <v>3.1E-2</v>
      </c>
      <c r="C19">
        <v>1</v>
      </c>
      <c r="D19">
        <v>-0.55470270300000002</v>
      </c>
      <c r="E19">
        <v>43</v>
      </c>
    </row>
    <row r="20" spans="1:5" x14ac:dyDescent="0.25">
      <c r="A20">
        <v>234</v>
      </c>
      <c r="B20">
        <v>3.4000000000000002E-2</v>
      </c>
      <c r="C20">
        <v>4</v>
      </c>
      <c r="D20">
        <v>-0.60551428600000001</v>
      </c>
      <c r="E20">
        <v>20</v>
      </c>
    </row>
    <row r="21" spans="1:5" x14ac:dyDescent="0.25">
      <c r="A21">
        <v>297</v>
      </c>
      <c r="B21">
        <v>3.4000000000000002E-2</v>
      </c>
      <c r="C21">
        <v>3</v>
      </c>
      <c r="D21">
        <v>-0.58409999999999995</v>
      </c>
      <c r="E21">
        <v>31</v>
      </c>
    </row>
    <row r="22" spans="1:5" x14ac:dyDescent="0.25">
      <c r="A22">
        <v>45</v>
      </c>
      <c r="B22">
        <v>3.4000000000000002E-2</v>
      </c>
      <c r="C22">
        <v>1</v>
      </c>
      <c r="D22">
        <v>-0.55170270300000002</v>
      </c>
      <c r="E22">
        <v>44</v>
      </c>
    </row>
    <row r="23" spans="1:5" x14ac:dyDescent="0.25">
      <c r="A23">
        <v>165</v>
      </c>
      <c r="B23">
        <v>3.5999999999999997E-2</v>
      </c>
      <c r="C23">
        <v>4</v>
      </c>
      <c r="D23">
        <v>-0.60351428600000001</v>
      </c>
      <c r="E23">
        <v>21</v>
      </c>
    </row>
    <row r="24" spans="1:5" x14ac:dyDescent="0.25">
      <c r="A24">
        <v>247</v>
      </c>
      <c r="B24">
        <v>0.04</v>
      </c>
      <c r="C24">
        <v>4</v>
      </c>
      <c r="D24">
        <v>-0.59951428600000001</v>
      </c>
      <c r="E24">
        <v>22</v>
      </c>
    </row>
    <row r="25" spans="1:5" x14ac:dyDescent="0.25">
      <c r="A25">
        <v>157</v>
      </c>
      <c r="B25">
        <v>4.1000000000000002E-2</v>
      </c>
      <c r="C25">
        <v>3</v>
      </c>
      <c r="D25">
        <v>-0.57709999999999995</v>
      </c>
      <c r="E25">
        <v>33</v>
      </c>
    </row>
    <row r="26" spans="1:5" x14ac:dyDescent="0.25">
      <c r="A26">
        <v>125</v>
      </c>
      <c r="B26">
        <v>4.3999999999999997E-2</v>
      </c>
      <c r="C26">
        <v>4</v>
      </c>
      <c r="D26">
        <v>-0.595514286</v>
      </c>
      <c r="E26">
        <v>23</v>
      </c>
    </row>
    <row r="27" spans="1:5" x14ac:dyDescent="0.25">
      <c r="A27">
        <v>110</v>
      </c>
      <c r="B27">
        <v>4.4999999999999998E-2</v>
      </c>
      <c r="C27">
        <v>2</v>
      </c>
      <c r="D27">
        <v>-0.64284210499999994</v>
      </c>
      <c r="E27">
        <v>6</v>
      </c>
    </row>
    <row r="28" spans="1:5" x14ac:dyDescent="0.25">
      <c r="A28">
        <v>24</v>
      </c>
      <c r="B28">
        <v>4.8000000000000001E-2</v>
      </c>
      <c r="C28">
        <v>1</v>
      </c>
      <c r="D28">
        <v>-0.537702703</v>
      </c>
      <c r="E28">
        <v>51</v>
      </c>
    </row>
    <row r="29" spans="1:5" x14ac:dyDescent="0.25">
      <c r="A29">
        <v>17</v>
      </c>
      <c r="B29">
        <v>5.0999999999999997E-2</v>
      </c>
      <c r="C29">
        <v>2</v>
      </c>
      <c r="D29">
        <v>-0.63684210499999994</v>
      </c>
      <c r="E29">
        <v>8</v>
      </c>
    </row>
    <row r="30" spans="1:5" x14ac:dyDescent="0.25">
      <c r="A30">
        <v>203</v>
      </c>
      <c r="B30">
        <v>5.0999999999999997E-2</v>
      </c>
      <c r="C30">
        <v>4</v>
      </c>
      <c r="D30">
        <v>-0.588514286</v>
      </c>
      <c r="E30">
        <v>29</v>
      </c>
    </row>
    <row r="31" spans="1:5" x14ac:dyDescent="0.25">
      <c r="A31">
        <v>135</v>
      </c>
      <c r="B31">
        <v>5.0999999999999997E-2</v>
      </c>
      <c r="C31">
        <v>3</v>
      </c>
      <c r="D31">
        <v>-0.56709999999999994</v>
      </c>
      <c r="E31">
        <v>37</v>
      </c>
    </row>
    <row r="32" spans="1:5" x14ac:dyDescent="0.25">
      <c r="A32">
        <v>282</v>
      </c>
      <c r="B32">
        <v>5.2999999999999999E-2</v>
      </c>
      <c r="C32">
        <v>2</v>
      </c>
      <c r="D32">
        <v>-0.63484210499999993</v>
      </c>
      <c r="E32">
        <v>9</v>
      </c>
    </row>
    <row r="33" spans="1:5" x14ac:dyDescent="0.25">
      <c r="A33">
        <v>163</v>
      </c>
      <c r="B33">
        <v>5.3999999999999999E-2</v>
      </c>
      <c r="C33">
        <v>3</v>
      </c>
      <c r="D33">
        <v>-0.56409999999999993</v>
      </c>
      <c r="E33">
        <v>38</v>
      </c>
    </row>
    <row r="34" spans="1:5" x14ac:dyDescent="0.25">
      <c r="A34">
        <v>296</v>
      </c>
      <c r="B34">
        <v>5.5E-2</v>
      </c>
      <c r="C34">
        <v>4</v>
      </c>
      <c r="D34">
        <v>-0.58451428599999999</v>
      </c>
      <c r="E34">
        <v>30</v>
      </c>
    </row>
    <row r="35" spans="1:5" x14ac:dyDescent="0.25">
      <c r="A35">
        <v>101</v>
      </c>
      <c r="B35">
        <v>5.7000000000000002E-2</v>
      </c>
      <c r="C35">
        <v>2</v>
      </c>
      <c r="D35">
        <v>-0.63084210499999993</v>
      </c>
      <c r="E35">
        <v>10</v>
      </c>
    </row>
    <row r="36" spans="1:5" x14ac:dyDescent="0.25">
      <c r="A36">
        <v>160</v>
      </c>
      <c r="B36">
        <v>5.7000000000000002E-2</v>
      </c>
      <c r="C36">
        <v>3</v>
      </c>
      <c r="D36">
        <v>-0.56109999999999993</v>
      </c>
      <c r="E36">
        <v>40</v>
      </c>
    </row>
    <row r="37" spans="1:5" x14ac:dyDescent="0.25">
      <c r="A37">
        <v>174</v>
      </c>
      <c r="B37">
        <v>6.3E-2</v>
      </c>
      <c r="C37">
        <v>3</v>
      </c>
      <c r="D37">
        <v>-0.55509999999999993</v>
      </c>
      <c r="E37">
        <v>42</v>
      </c>
    </row>
    <row r="38" spans="1:5" x14ac:dyDescent="0.25">
      <c r="A38">
        <v>121</v>
      </c>
      <c r="B38">
        <v>6.3E-2</v>
      </c>
      <c r="C38">
        <v>1</v>
      </c>
      <c r="D38">
        <v>-0.52270270299999999</v>
      </c>
      <c r="E38">
        <v>54</v>
      </c>
    </row>
    <row r="39" spans="1:5" x14ac:dyDescent="0.25">
      <c r="A39">
        <v>323</v>
      </c>
      <c r="B39">
        <v>6.6000000000000003E-2</v>
      </c>
      <c r="C39">
        <v>5</v>
      </c>
      <c r="D39">
        <v>-0.58082456100000002</v>
      </c>
      <c r="E39">
        <v>32</v>
      </c>
    </row>
    <row r="40" spans="1:5" x14ac:dyDescent="0.25">
      <c r="A40">
        <v>243</v>
      </c>
      <c r="B40">
        <v>6.7000000000000004E-2</v>
      </c>
      <c r="C40">
        <v>4</v>
      </c>
      <c r="D40">
        <v>-0.57251428600000009</v>
      </c>
      <c r="E40">
        <v>35</v>
      </c>
    </row>
    <row r="41" spans="1:5" x14ac:dyDescent="0.25">
      <c r="A41">
        <v>270</v>
      </c>
      <c r="B41">
        <v>6.9000000000000006E-2</v>
      </c>
      <c r="C41">
        <v>1</v>
      </c>
      <c r="D41">
        <v>-0.51670270299999999</v>
      </c>
      <c r="E41">
        <v>56</v>
      </c>
    </row>
    <row r="42" spans="1:5" x14ac:dyDescent="0.25">
      <c r="A42">
        <v>329</v>
      </c>
      <c r="B42">
        <v>7.5999999999999998E-2</v>
      </c>
      <c r="C42">
        <v>2</v>
      </c>
      <c r="D42">
        <v>-0.61184210500000002</v>
      </c>
      <c r="E42">
        <v>18</v>
      </c>
    </row>
    <row r="43" spans="1:5" x14ac:dyDescent="0.25">
      <c r="A43">
        <v>196</v>
      </c>
      <c r="B43">
        <v>7.8E-2</v>
      </c>
      <c r="C43">
        <v>4</v>
      </c>
      <c r="D43">
        <v>-0.56151428600000008</v>
      </c>
      <c r="E43">
        <v>39</v>
      </c>
    </row>
    <row r="44" spans="1:5" x14ac:dyDescent="0.25">
      <c r="A44">
        <v>109</v>
      </c>
      <c r="B44">
        <v>0.08</v>
      </c>
      <c r="C44">
        <v>3</v>
      </c>
      <c r="D44">
        <v>-0.53810000000000002</v>
      </c>
      <c r="E44">
        <v>50</v>
      </c>
    </row>
    <row r="45" spans="1:5" x14ac:dyDescent="0.25">
      <c r="A45">
        <v>40</v>
      </c>
      <c r="B45">
        <v>8.5000000000000006E-2</v>
      </c>
      <c r="C45">
        <v>1</v>
      </c>
      <c r="D45">
        <v>-0.50070270300000008</v>
      </c>
      <c r="E45">
        <v>58</v>
      </c>
    </row>
    <row r="46" spans="1:5" x14ac:dyDescent="0.25">
      <c r="A46">
        <v>288</v>
      </c>
      <c r="B46">
        <v>8.5000000000000006E-2</v>
      </c>
      <c r="C46">
        <v>1</v>
      </c>
      <c r="D46">
        <v>-0.50070270300000008</v>
      </c>
      <c r="E46">
        <v>59</v>
      </c>
    </row>
    <row r="47" spans="1:5" x14ac:dyDescent="0.25">
      <c r="A47">
        <v>113</v>
      </c>
      <c r="B47">
        <v>8.6999999999999994E-2</v>
      </c>
      <c r="C47">
        <v>1</v>
      </c>
      <c r="D47">
        <v>-0.49870270300000008</v>
      </c>
      <c r="E47">
        <v>60</v>
      </c>
    </row>
    <row r="48" spans="1:5" x14ac:dyDescent="0.25">
      <c r="A48">
        <v>138</v>
      </c>
      <c r="B48">
        <v>8.7999999999999995E-2</v>
      </c>
      <c r="C48">
        <v>4</v>
      </c>
      <c r="D48">
        <v>-0.55151428600000008</v>
      </c>
      <c r="E48">
        <v>45</v>
      </c>
    </row>
    <row r="49" spans="1:5" x14ac:dyDescent="0.25">
      <c r="A49">
        <v>186</v>
      </c>
      <c r="B49">
        <v>0.09</v>
      </c>
      <c r="C49">
        <v>4</v>
      </c>
      <c r="D49">
        <v>-0.54951428600000007</v>
      </c>
      <c r="E49">
        <v>46</v>
      </c>
    </row>
    <row r="50" spans="1:5" x14ac:dyDescent="0.25">
      <c r="A50">
        <v>52</v>
      </c>
      <c r="B50">
        <v>0.09</v>
      </c>
      <c r="C50">
        <v>4</v>
      </c>
      <c r="D50">
        <v>-0.54951428600000007</v>
      </c>
      <c r="E50">
        <v>47</v>
      </c>
    </row>
    <row r="51" spans="1:5" x14ac:dyDescent="0.25">
      <c r="A51">
        <v>58</v>
      </c>
      <c r="B51">
        <v>9.2999999999999999E-2</v>
      </c>
      <c r="C51">
        <v>2</v>
      </c>
      <c r="D51">
        <v>-0.59484210500000001</v>
      </c>
      <c r="E51">
        <v>24</v>
      </c>
    </row>
    <row r="52" spans="1:5" x14ac:dyDescent="0.25">
      <c r="A52">
        <v>170</v>
      </c>
      <c r="B52">
        <v>9.6000000000000002E-2</v>
      </c>
      <c r="C52">
        <v>2</v>
      </c>
      <c r="D52">
        <v>-0.59184210500000001</v>
      </c>
      <c r="E52">
        <v>26</v>
      </c>
    </row>
    <row r="53" spans="1:5" x14ac:dyDescent="0.25">
      <c r="A53">
        <v>34</v>
      </c>
      <c r="B53">
        <v>9.6000000000000002E-2</v>
      </c>
      <c r="C53">
        <v>4</v>
      </c>
      <c r="D53">
        <v>-0.54351428600000007</v>
      </c>
      <c r="E53">
        <v>48</v>
      </c>
    </row>
    <row r="54" spans="1:5" x14ac:dyDescent="0.25">
      <c r="A54">
        <v>287</v>
      </c>
      <c r="B54">
        <v>9.7000000000000003E-2</v>
      </c>
      <c r="C54">
        <v>1</v>
      </c>
      <c r="D54">
        <v>-0.48870270300000007</v>
      </c>
      <c r="E54">
        <v>64</v>
      </c>
    </row>
    <row r="55" spans="1:5" x14ac:dyDescent="0.25">
      <c r="A55">
        <v>53</v>
      </c>
      <c r="B55">
        <v>9.8000000000000004E-2</v>
      </c>
      <c r="C55">
        <v>2</v>
      </c>
      <c r="D55">
        <v>-0.58984210500000001</v>
      </c>
      <c r="E55">
        <v>27</v>
      </c>
    </row>
    <row r="56" spans="1:5" x14ac:dyDescent="0.25">
      <c r="A56">
        <v>57</v>
      </c>
      <c r="B56">
        <v>9.9000000000000005E-2</v>
      </c>
      <c r="C56">
        <v>2</v>
      </c>
      <c r="D56">
        <v>-0.588842105</v>
      </c>
      <c r="E56">
        <v>28</v>
      </c>
    </row>
    <row r="57" spans="1:5" x14ac:dyDescent="0.25">
      <c r="A57">
        <v>150</v>
      </c>
      <c r="B57">
        <v>0.10100000000000001</v>
      </c>
      <c r="C57">
        <v>4</v>
      </c>
      <c r="D57">
        <v>-0.53851428600000006</v>
      </c>
      <c r="E57">
        <v>49</v>
      </c>
    </row>
    <row r="58" spans="1:5" x14ac:dyDescent="0.25">
      <c r="A58">
        <v>112</v>
      </c>
      <c r="B58">
        <v>0.108</v>
      </c>
      <c r="C58">
        <v>3</v>
      </c>
      <c r="D58">
        <v>-0.5101</v>
      </c>
      <c r="E58">
        <v>57</v>
      </c>
    </row>
    <row r="59" spans="1:5" x14ac:dyDescent="0.25">
      <c r="A59">
        <v>233</v>
      </c>
      <c r="B59">
        <v>0.109</v>
      </c>
      <c r="C59">
        <v>1</v>
      </c>
      <c r="D59">
        <v>-0.47670270300000006</v>
      </c>
      <c r="E59">
        <v>69</v>
      </c>
    </row>
    <row r="60" spans="1:5" x14ac:dyDescent="0.25">
      <c r="A60">
        <v>80</v>
      </c>
      <c r="B60">
        <v>0.111</v>
      </c>
      <c r="C60">
        <v>5</v>
      </c>
      <c r="D60">
        <v>-0.53582456099999998</v>
      </c>
      <c r="E60">
        <v>52</v>
      </c>
    </row>
    <row r="61" spans="1:5" x14ac:dyDescent="0.25">
      <c r="A61">
        <v>100</v>
      </c>
      <c r="B61">
        <v>0.11700000000000001</v>
      </c>
      <c r="C61">
        <v>2</v>
      </c>
      <c r="D61">
        <v>-0.57084210499999999</v>
      </c>
      <c r="E61">
        <v>36</v>
      </c>
    </row>
    <row r="62" spans="1:5" x14ac:dyDescent="0.25">
      <c r="A62">
        <v>171</v>
      </c>
      <c r="B62">
        <v>0.122</v>
      </c>
      <c r="C62">
        <v>5</v>
      </c>
      <c r="D62">
        <v>-0.52482456099999997</v>
      </c>
      <c r="E62">
        <v>53</v>
      </c>
    </row>
    <row r="63" spans="1:5" x14ac:dyDescent="0.25">
      <c r="A63">
        <v>225</v>
      </c>
      <c r="B63">
        <v>0.122</v>
      </c>
      <c r="C63">
        <v>4</v>
      </c>
      <c r="D63">
        <v>-0.51751428600000005</v>
      </c>
      <c r="E63">
        <v>55</v>
      </c>
    </row>
    <row r="64" spans="1:5" x14ac:dyDescent="0.25">
      <c r="A64">
        <v>28</v>
      </c>
      <c r="B64">
        <v>0.122</v>
      </c>
      <c r="C64">
        <v>3</v>
      </c>
      <c r="D64">
        <v>-0.49609999999999999</v>
      </c>
      <c r="E64">
        <v>61</v>
      </c>
    </row>
    <row r="65" spans="1:5" x14ac:dyDescent="0.25">
      <c r="A65">
        <v>19</v>
      </c>
      <c r="B65">
        <v>0.127</v>
      </c>
      <c r="C65">
        <v>3</v>
      </c>
      <c r="D65">
        <v>-0.49109999999999998</v>
      </c>
      <c r="E65">
        <v>63</v>
      </c>
    </row>
    <row r="66" spans="1:5" x14ac:dyDescent="0.25">
      <c r="A66">
        <v>273</v>
      </c>
      <c r="B66">
        <v>0.13200000000000001</v>
      </c>
      <c r="C66">
        <v>1</v>
      </c>
      <c r="D66">
        <v>-0.45370270300000004</v>
      </c>
      <c r="E66">
        <v>73</v>
      </c>
    </row>
    <row r="67" spans="1:5" x14ac:dyDescent="0.25">
      <c r="A67">
        <v>9</v>
      </c>
      <c r="B67">
        <v>0.13500000000000001</v>
      </c>
      <c r="C67">
        <v>3</v>
      </c>
      <c r="D67">
        <v>-0.48309999999999997</v>
      </c>
      <c r="E67">
        <v>66</v>
      </c>
    </row>
    <row r="68" spans="1:5" x14ac:dyDescent="0.25">
      <c r="A68">
        <v>214</v>
      </c>
      <c r="B68">
        <v>0.14000000000000001</v>
      </c>
      <c r="C68">
        <v>1</v>
      </c>
      <c r="D68">
        <v>-0.44570270300000003</v>
      </c>
      <c r="E68">
        <v>79</v>
      </c>
    </row>
    <row r="69" spans="1:5" x14ac:dyDescent="0.25">
      <c r="A69">
        <v>49</v>
      </c>
      <c r="B69">
        <v>0.153</v>
      </c>
      <c r="C69">
        <v>5</v>
      </c>
      <c r="D69">
        <v>-0.49382456099999994</v>
      </c>
      <c r="E69">
        <v>62</v>
      </c>
    </row>
    <row r="70" spans="1:5" x14ac:dyDescent="0.25">
      <c r="A70">
        <v>94</v>
      </c>
      <c r="B70">
        <v>0.159</v>
      </c>
      <c r="C70">
        <v>1</v>
      </c>
      <c r="D70">
        <v>-0.42670270300000002</v>
      </c>
      <c r="E70">
        <v>84</v>
      </c>
    </row>
    <row r="71" spans="1:5" x14ac:dyDescent="0.25">
      <c r="A71">
        <v>35</v>
      </c>
      <c r="B71">
        <v>0.161</v>
      </c>
      <c r="C71">
        <v>4</v>
      </c>
      <c r="D71">
        <v>-0.47851428600000001</v>
      </c>
      <c r="E71">
        <v>68</v>
      </c>
    </row>
    <row r="72" spans="1:5" x14ac:dyDescent="0.25">
      <c r="A72">
        <v>183</v>
      </c>
      <c r="B72">
        <v>0.16400000000000001</v>
      </c>
      <c r="C72">
        <v>5</v>
      </c>
      <c r="D72">
        <v>-0.48282456099999993</v>
      </c>
      <c r="E72">
        <v>67</v>
      </c>
    </row>
    <row r="73" spans="1:5" x14ac:dyDescent="0.25">
      <c r="A73">
        <v>153</v>
      </c>
      <c r="B73">
        <v>0.16500000000000001</v>
      </c>
      <c r="C73">
        <v>3</v>
      </c>
      <c r="D73">
        <v>-0.45309999999999995</v>
      </c>
      <c r="E73">
        <v>74</v>
      </c>
    </row>
    <row r="74" spans="1:5" x14ac:dyDescent="0.25">
      <c r="A74">
        <v>283</v>
      </c>
      <c r="B74">
        <v>0.16600000000000001</v>
      </c>
      <c r="C74">
        <v>1</v>
      </c>
      <c r="D74">
        <v>-0.41970270300000001</v>
      </c>
      <c r="E74">
        <v>87</v>
      </c>
    </row>
    <row r="75" spans="1:5" x14ac:dyDescent="0.25">
      <c r="A75">
        <v>257</v>
      </c>
      <c r="B75">
        <v>0.17100000000000001</v>
      </c>
      <c r="C75">
        <v>3</v>
      </c>
      <c r="D75">
        <v>-0.44709999999999994</v>
      </c>
      <c r="E75">
        <v>76</v>
      </c>
    </row>
    <row r="76" spans="1:5" x14ac:dyDescent="0.25">
      <c r="A76">
        <v>137</v>
      </c>
      <c r="B76">
        <v>0.17199999999999999</v>
      </c>
      <c r="C76">
        <v>3</v>
      </c>
      <c r="D76">
        <v>-0.4461</v>
      </c>
      <c r="E76">
        <v>77</v>
      </c>
    </row>
    <row r="77" spans="1:5" x14ac:dyDescent="0.25">
      <c r="A77">
        <v>204</v>
      </c>
      <c r="B77">
        <v>0.17799999999999999</v>
      </c>
      <c r="C77">
        <v>1</v>
      </c>
      <c r="D77">
        <v>-0.40770270300000006</v>
      </c>
      <c r="E77">
        <v>92</v>
      </c>
    </row>
    <row r="78" spans="1:5" x14ac:dyDescent="0.25">
      <c r="A78">
        <v>256</v>
      </c>
      <c r="B78">
        <v>0.17899999999999999</v>
      </c>
      <c r="C78">
        <v>1</v>
      </c>
      <c r="D78">
        <v>-0.40670270300000005</v>
      </c>
      <c r="E78">
        <v>93</v>
      </c>
    </row>
    <row r="79" spans="1:5" x14ac:dyDescent="0.25">
      <c r="A79">
        <v>316</v>
      </c>
      <c r="B79">
        <v>0.18099999999999999</v>
      </c>
      <c r="C79">
        <v>4</v>
      </c>
      <c r="D79">
        <v>-0.45851428600000005</v>
      </c>
      <c r="E79">
        <v>71</v>
      </c>
    </row>
    <row r="80" spans="1:5" x14ac:dyDescent="0.25">
      <c r="A80">
        <v>4</v>
      </c>
      <c r="B80">
        <v>0.191</v>
      </c>
      <c r="C80">
        <v>1</v>
      </c>
      <c r="D80">
        <v>-0.39470270300000004</v>
      </c>
      <c r="E80">
        <v>97</v>
      </c>
    </row>
    <row r="81" spans="1:5" x14ac:dyDescent="0.25">
      <c r="A81">
        <v>64</v>
      </c>
      <c r="B81">
        <v>0.19500000000000001</v>
      </c>
      <c r="C81">
        <v>5</v>
      </c>
      <c r="D81">
        <v>-0.45182456099999996</v>
      </c>
      <c r="E81">
        <v>75</v>
      </c>
    </row>
    <row r="82" spans="1:5" x14ac:dyDescent="0.25">
      <c r="A82">
        <v>266</v>
      </c>
      <c r="B82">
        <v>0.19700000000000001</v>
      </c>
      <c r="C82">
        <v>1</v>
      </c>
      <c r="D82">
        <v>-0.38870270300000004</v>
      </c>
      <c r="E82">
        <v>98</v>
      </c>
    </row>
    <row r="83" spans="1:5" x14ac:dyDescent="0.25">
      <c r="A83">
        <v>278</v>
      </c>
      <c r="B83">
        <v>0.19900000000000001</v>
      </c>
      <c r="C83">
        <v>4</v>
      </c>
      <c r="D83">
        <v>-0.44051428600000003</v>
      </c>
      <c r="E83">
        <v>80</v>
      </c>
    </row>
    <row r="84" spans="1:5" x14ac:dyDescent="0.25">
      <c r="A84">
        <v>294</v>
      </c>
      <c r="B84">
        <v>0.20100000000000001</v>
      </c>
      <c r="C84">
        <v>3</v>
      </c>
      <c r="D84">
        <v>-0.41709999999999997</v>
      </c>
      <c r="E84">
        <v>90</v>
      </c>
    </row>
    <row r="85" spans="1:5" x14ac:dyDescent="0.25">
      <c r="A85">
        <v>89</v>
      </c>
      <c r="B85">
        <v>0.20100000000000001</v>
      </c>
      <c r="C85">
        <v>1</v>
      </c>
      <c r="D85">
        <v>-0.38470270300000003</v>
      </c>
      <c r="E85">
        <v>99</v>
      </c>
    </row>
    <row r="86" spans="1:5" x14ac:dyDescent="0.25">
      <c r="A86">
        <v>85</v>
      </c>
      <c r="B86">
        <v>0.20200000000000001</v>
      </c>
      <c r="C86">
        <v>2</v>
      </c>
      <c r="D86">
        <v>-0.48584210499999997</v>
      </c>
      <c r="E86">
        <v>65</v>
      </c>
    </row>
    <row r="87" spans="1:5" x14ac:dyDescent="0.25">
      <c r="A87">
        <v>303</v>
      </c>
      <c r="B87">
        <v>0.20699999999999999</v>
      </c>
      <c r="C87">
        <v>5</v>
      </c>
      <c r="D87">
        <v>-0.439824561</v>
      </c>
      <c r="E87">
        <v>82</v>
      </c>
    </row>
    <row r="88" spans="1:5" x14ac:dyDescent="0.25">
      <c r="A88">
        <v>305</v>
      </c>
      <c r="B88">
        <v>0.216</v>
      </c>
      <c r="C88">
        <v>2</v>
      </c>
      <c r="D88">
        <v>-0.47184210500000001</v>
      </c>
      <c r="E88">
        <v>70</v>
      </c>
    </row>
    <row r="89" spans="1:5" x14ac:dyDescent="0.25">
      <c r="A89">
        <v>254</v>
      </c>
      <c r="B89">
        <v>0.22</v>
      </c>
      <c r="C89">
        <v>4</v>
      </c>
      <c r="D89">
        <v>-0.41951428600000007</v>
      </c>
      <c r="E89">
        <v>88</v>
      </c>
    </row>
    <row r="90" spans="1:5" x14ac:dyDescent="0.25">
      <c r="A90">
        <v>286</v>
      </c>
      <c r="B90">
        <v>0.221</v>
      </c>
      <c r="C90">
        <v>4</v>
      </c>
      <c r="D90">
        <v>-0.41851428600000007</v>
      </c>
      <c r="E90">
        <v>89</v>
      </c>
    </row>
    <row r="91" spans="1:5" x14ac:dyDescent="0.25">
      <c r="A91">
        <v>210</v>
      </c>
      <c r="B91">
        <v>0.223</v>
      </c>
      <c r="C91">
        <v>5</v>
      </c>
      <c r="D91">
        <v>-0.42382456099999999</v>
      </c>
      <c r="E91">
        <v>85</v>
      </c>
    </row>
    <row r="92" spans="1:5" x14ac:dyDescent="0.25">
      <c r="A92">
        <v>242</v>
      </c>
      <c r="B92">
        <v>0.23300000000000001</v>
      </c>
      <c r="C92">
        <v>5</v>
      </c>
      <c r="D92">
        <v>-0.41382456099999998</v>
      </c>
      <c r="E92">
        <v>91</v>
      </c>
    </row>
    <row r="93" spans="1:5" x14ac:dyDescent="0.25">
      <c r="A93">
        <v>236</v>
      </c>
      <c r="B93">
        <v>0.23400000000000001</v>
      </c>
      <c r="C93">
        <v>2</v>
      </c>
      <c r="D93">
        <v>-0.453842105</v>
      </c>
      <c r="E93">
        <v>72</v>
      </c>
    </row>
    <row r="94" spans="1:5" x14ac:dyDescent="0.25">
      <c r="A94">
        <v>248</v>
      </c>
      <c r="B94">
        <v>0.23499999999999999</v>
      </c>
      <c r="C94">
        <v>1</v>
      </c>
      <c r="D94">
        <v>-0.35070270300000006</v>
      </c>
      <c r="E94">
        <v>106</v>
      </c>
    </row>
    <row r="95" spans="1:5" x14ac:dyDescent="0.25">
      <c r="A95">
        <v>200</v>
      </c>
      <c r="B95">
        <v>0.23899999999999999</v>
      </c>
      <c r="C95">
        <v>4</v>
      </c>
      <c r="D95">
        <v>-0.40051428600000005</v>
      </c>
      <c r="E95">
        <v>94</v>
      </c>
    </row>
    <row r="96" spans="1:5" x14ac:dyDescent="0.25">
      <c r="A96">
        <v>161</v>
      </c>
      <c r="B96">
        <v>0.23899999999999999</v>
      </c>
      <c r="C96">
        <v>4</v>
      </c>
      <c r="D96">
        <v>-0.40051428600000005</v>
      </c>
      <c r="E96">
        <v>95</v>
      </c>
    </row>
    <row r="97" spans="1:5" x14ac:dyDescent="0.25">
      <c r="A97">
        <v>114</v>
      </c>
      <c r="B97">
        <v>0.23899999999999999</v>
      </c>
      <c r="C97">
        <v>1</v>
      </c>
      <c r="D97">
        <v>-0.34670270300000006</v>
      </c>
      <c r="E97">
        <v>107</v>
      </c>
    </row>
    <row r="98" spans="1:5" x14ac:dyDescent="0.25">
      <c r="A98">
        <v>315</v>
      </c>
      <c r="B98">
        <v>0.24199999999999999</v>
      </c>
      <c r="C98">
        <v>2</v>
      </c>
      <c r="D98">
        <v>-0.44584210499999999</v>
      </c>
      <c r="E98">
        <v>78</v>
      </c>
    </row>
    <row r="99" spans="1:5" x14ac:dyDescent="0.25">
      <c r="A99">
        <v>173</v>
      </c>
      <c r="B99">
        <v>0.24299999999999999</v>
      </c>
      <c r="C99">
        <v>4</v>
      </c>
      <c r="D99">
        <v>-0.39651428600000005</v>
      </c>
      <c r="E99">
        <v>96</v>
      </c>
    </row>
    <row r="100" spans="1:5" x14ac:dyDescent="0.25">
      <c r="A100">
        <v>22</v>
      </c>
      <c r="B100">
        <v>0.245</v>
      </c>
      <c r="C100">
        <v>1</v>
      </c>
      <c r="D100">
        <v>-0.34070270300000005</v>
      </c>
      <c r="E100">
        <v>110</v>
      </c>
    </row>
    <row r="101" spans="1:5" x14ac:dyDescent="0.25">
      <c r="A101">
        <v>124</v>
      </c>
      <c r="B101">
        <v>0.248</v>
      </c>
      <c r="C101">
        <v>2</v>
      </c>
      <c r="D101">
        <v>-0.43984210499999998</v>
      </c>
      <c r="E101">
        <v>81</v>
      </c>
    </row>
    <row r="102" spans="1:5" x14ac:dyDescent="0.25">
      <c r="A102">
        <v>25</v>
      </c>
      <c r="B102">
        <v>0.255</v>
      </c>
      <c r="C102">
        <v>2</v>
      </c>
      <c r="D102">
        <v>-0.43284210499999998</v>
      </c>
      <c r="E102">
        <v>83</v>
      </c>
    </row>
    <row r="103" spans="1:5" x14ac:dyDescent="0.25">
      <c r="A103">
        <v>14</v>
      </c>
      <c r="B103">
        <v>0.25700000000000001</v>
      </c>
      <c r="C103">
        <v>4</v>
      </c>
      <c r="D103">
        <v>-0.38251428600000004</v>
      </c>
      <c r="E103">
        <v>100</v>
      </c>
    </row>
    <row r="104" spans="1:5" x14ac:dyDescent="0.25">
      <c r="A104">
        <v>63</v>
      </c>
      <c r="B104">
        <v>0.25800000000000001</v>
      </c>
      <c r="C104">
        <v>1</v>
      </c>
      <c r="D104">
        <v>-0.32770270300000004</v>
      </c>
      <c r="E104">
        <v>114</v>
      </c>
    </row>
    <row r="105" spans="1:5" x14ac:dyDescent="0.25">
      <c r="A105">
        <v>142</v>
      </c>
      <c r="B105">
        <v>0.26700000000000002</v>
      </c>
      <c r="C105">
        <v>3</v>
      </c>
      <c r="D105">
        <v>-0.35109999999999997</v>
      </c>
      <c r="E105">
        <v>105</v>
      </c>
    </row>
    <row r="106" spans="1:5" x14ac:dyDescent="0.25">
      <c r="A106">
        <v>31</v>
      </c>
      <c r="B106">
        <v>0.26800000000000002</v>
      </c>
      <c r="C106">
        <v>2</v>
      </c>
      <c r="D106">
        <v>-0.41984210499999997</v>
      </c>
      <c r="E106">
        <v>86</v>
      </c>
    </row>
    <row r="107" spans="1:5" x14ac:dyDescent="0.25">
      <c r="A107">
        <v>20</v>
      </c>
      <c r="B107">
        <v>0.27300000000000002</v>
      </c>
      <c r="C107">
        <v>5</v>
      </c>
      <c r="D107">
        <v>-0.37382456099999994</v>
      </c>
      <c r="E107">
        <v>101</v>
      </c>
    </row>
    <row r="108" spans="1:5" x14ac:dyDescent="0.25">
      <c r="A108">
        <v>197</v>
      </c>
      <c r="B108">
        <v>0.27500000000000002</v>
      </c>
      <c r="C108">
        <v>5</v>
      </c>
      <c r="D108">
        <v>-0.37182456099999994</v>
      </c>
      <c r="E108">
        <v>102</v>
      </c>
    </row>
    <row r="109" spans="1:5" x14ac:dyDescent="0.25">
      <c r="A109">
        <v>55</v>
      </c>
      <c r="B109">
        <v>0.27700000000000002</v>
      </c>
      <c r="C109">
        <v>3</v>
      </c>
      <c r="D109">
        <v>-0.34109999999999996</v>
      </c>
      <c r="E109">
        <v>109</v>
      </c>
    </row>
    <row r="110" spans="1:5" x14ac:dyDescent="0.25">
      <c r="A110">
        <v>36</v>
      </c>
      <c r="B110">
        <v>0.28199999999999997</v>
      </c>
      <c r="C110">
        <v>5</v>
      </c>
      <c r="D110">
        <v>-0.36482456099999999</v>
      </c>
      <c r="E110">
        <v>103</v>
      </c>
    </row>
    <row r="111" spans="1:5" x14ac:dyDescent="0.25">
      <c r="A111">
        <v>325</v>
      </c>
      <c r="B111">
        <v>0.28499999999999998</v>
      </c>
      <c r="C111">
        <v>1</v>
      </c>
      <c r="D111">
        <v>-0.30070270300000007</v>
      </c>
      <c r="E111">
        <v>121</v>
      </c>
    </row>
    <row r="112" spans="1:5" x14ac:dyDescent="0.25">
      <c r="A112">
        <v>126</v>
      </c>
      <c r="B112">
        <v>0.28699999999999998</v>
      </c>
      <c r="C112">
        <v>3</v>
      </c>
      <c r="D112">
        <v>-0.33110000000000001</v>
      </c>
      <c r="E112">
        <v>113</v>
      </c>
    </row>
    <row r="113" spans="1:5" x14ac:dyDescent="0.25">
      <c r="A113">
        <v>249</v>
      </c>
      <c r="B113">
        <v>0.29599999999999999</v>
      </c>
      <c r="C113">
        <v>3</v>
      </c>
      <c r="D113">
        <v>-0.3221</v>
      </c>
      <c r="E113">
        <v>116</v>
      </c>
    </row>
    <row r="114" spans="1:5" x14ac:dyDescent="0.25">
      <c r="A114">
        <v>21</v>
      </c>
      <c r="B114">
        <v>0.29899999999999999</v>
      </c>
      <c r="C114">
        <v>1</v>
      </c>
      <c r="D114">
        <v>-0.28670270300000006</v>
      </c>
      <c r="E114">
        <v>123</v>
      </c>
    </row>
    <row r="115" spans="1:5" x14ac:dyDescent="0.25">
      <c r="A115">
        <v>185</v>
      </c>
      <c r="B115">
        <v>0.30399999999999999</v>
      </c>
      <c r="C115">
        <v>5</v>
      </c>
      <c r="D115">
        <v>-0.34282456099999997</v>
      </c>
      <c r="E115">
        <v>108</v>
      </c>
    </row>
    <row r="116" spans="1:5" x14ac:dyDescent="0.25">
      <c r="A116">
        <v>274</v>
      </c>
      <c r="B116">
        <v>0.30499999999999999</v>
      </c>
      <c r="C116">
        <v>3</v>
      </c>
      <c r="D116">
        <v>-0.31309999999999999</v>
      </c>
      <c r="E116">
        <v>119</v>
      </c>
    </row>
    <row r="117" spans="1:5" x14ac:dyDescent="0.25">
      <c r="A117">
        <v>301</v>
      </c>
      <c r="B117">
        <v>0.30599999999999999</v>
      </c>
      <c r="C117">
        <v>4</v>
      </c>
      <c r="D117">
        <v>-0.33351428600000005</v>
      </c>
      <c r="E117">
        <v>111</v>
      </c>
    </row>
    <row r="118" spans="1:5" x14ac:dyDescent="0.25">
      <c r="A118">
        <v>67</v>
      </c>
      <c r="B118">
        <v>0.315</v>
      </c>
      <c r="C118">
        <v>5</v>
      </c>
      <c r="D118">
        <v>-0.33182456099999996</v>
      </c>
      <c r="E118">
        <v>112</v>
      </c>
    </row>
    <row r="119" spans="1:5" x14ac:dyDescent="0.25">
      <c r="A119">
        <v>290</v>
      </c>
      <c r="B119">
        <v>0.32100000000000001</v>
      </c>
      <c r="C119">
        <v>4</v>
      </c>
      <c r="D119">
        <v>-0.31851428600000004</v>
      </c>
      <c r="E119">
        <v>118</v>
      </c>
    </row>
    <row r="120" spans="1:5" x14ac:dyDescent="0.25">
      <c r="A120">
        <v>2</v>
      </c>
      <c r="B120">
        <v>0.32500000000000001</v>
      </c>
      <c r="C120">
        <v>1</v>
      </c>
      <c r="D120">
        <v>-0.26070270300000004</v>
      </c>
      <c r="E120">
        <v>127</v>
      </c>
    </row>
    <row r="121" spans="1:5" x14ac:dyDescent="0.25">
      <c r="A121">
        <v>128</v>
      </c>
      <c r="B121">
        <v>0.32500000000000001</v>
      </c>
      <c r="C121">
        <v>1</v>
      </c>
      <c r="D121">
        <v>-0.26070270300000004</v>
      </c>
      <c r="E121">
        <v>128</v>
      </c>
    </row>
    <row r="122" spans="1:5" x14ac:dyDescent="0.25">
      <c r="A122">
        <v>190</v>
      </c>
      <c r="B122">
        <v>0.32800000000000001</v>
      </c>
      <c r="C122">
        <v>5</v>
      </c>
      <c r="D122">
        <v>-0.31882456099999995</v>
      </c>
      <c r="E122">
        <v>117</v>
      </c>
    </row>
    <row r="123" spans="1:5" x14ac:dyDescent="0.25">
      <c r="A123">
        <v>230</v>
      </c>
      <c r="B123">
        <v>0.33</v>
      </c>
      <c r="C123">
        <v>2</v>
      </c>
      <c r="D123">
        <v>-0.35784210499999997</v>
      </c>
      <c r="E123">
        <v>104</v>
      </c>
    </row>
    <row r="124" spans="1:5" x14ac:dyDescent="0.25">
      <c r="A124">
        <v>317</v>
      </c>
      <c r="B124">
        <v>0.33</v>
      </c>
      <c r="C124">
        <v>4</v>
      </c>
      <c r="D124">
        <v>-0.30951428600000003</v>
      </c>
      <c r="E124">
        <v>120</v>
      </c>
    </row>
    <row r="125" spans="1:5" x14ac:dyDescent="0.25">
      <c r="A125">
        <v>155</v>
      </c>
      <c r="B125">
        <v>0.33600000000000002</v>
      </c>
      <c r="C125">
        <v>1</v>
      </c>
      <c r="D125">
        <v>-0.24970270300000003</v>
      </c>
      <c r="E125">
        <v>130</v>
      </c>
    </row>
    <row r="126" spans="1:5" x14ac:dyDescent="0.25">
      <c r="A126">
        <v>271</v>
      </c>
      <c r="B126">
        <v>0.34499999999999997</v>
      </c>
      <c r="C126">
        <v>1</v>
      </c>
      <c r="D126">
        <v>-0.24070270300000007</v>
      </c>
      <c r="E126">
        <v>131</v>
      </c>
    </row>
    <row r="127" spans="1:5" x14ac:dyDescent="0.25">
      <c r="A127">
        <v>178</v>
      </c>
      <c r="B127">
        <v>0.35299999999999998</v>
      </c>
      <c r="C127">
        <v>4</v>
      </c>
      <c r="D127">
        <v>-0.28651428600000006</v>
      </c>
      <c r="E127">
        <v>124</v>
      </c>
    </row>
    <row r="128" spans="1:5" x14ac:dyDescent="0.25">
      <c r="A128">
        <v>35</v>
      </c>
      <c r="B128">
        <v>0.35499999999999998</v>
      </c>
      <c r="C128">
        <v>3</v>
      </c>
      <c r="D128">
        <v>-0.2631</v>
      </c>
      <c r="E128">
        <v>126</v>
      </c>
    </row>
    <row r="129" spans="1:5" x14ac:dyDescent="0.25">
      <c r="A129">
        <v>93</v>
      </c>
      <c r="B129">
        <v>0.36199999999999999</v>
      </c>
      <c r="C129">
        <v>2</v>
      </c>
      <c r="D129">
        <v>-0.32584210499999999</v>
      </c>
      <c r="E129">
        <v>115</v>
      </c>
    </row>
    <row r="130" spans="1:5" x14ac:dyDescent="0.25">
      <c r="A130">
        <v>156</v>
      </c>
      <c r="B130">
        <v>0.371</v>
      </c>
      <c r="C130">
        <v>4</v>
      </c>
      <c r="D130">
        <v>-0.26851428600000005</v>
      </c>
      <c r="E130">
        <v>125</v>
      </c>
    </row>
    <row r="131" spans="1:5" x14ac:dyDescent="0.25">
      <c r="A131">
        <v>47</v>
      </c>
      <c r="B131">
        <v>0.39400000000000002</v>
      </c>
      <c r="C131">
        <v>1</v>
      </c>
      <c r="D131">
        <v>-0.19170270300000003</v>
      </c>
      <c r="E131">
        <v>142</v>
      </c>
    </row>
    <row r="132" spans="1:5" x14ac:dyDescent="0.25">
      <c r="A132">
        <v>228</v>
      </c>
      <c r="B132">
        <v>0.39500000000000002</v>
      </c>
      <c r="C132">
        <v>2</v>
      </c>
      <c r="D132">
        <v>-0.29284210499999996</v>
      </c>
      <c r="E132">
        <v>122</v>
      </c>
    </row>
    <row r="133" spans="1:5" x14ac:dyDescent="0.25">
      <c r="A133">
        <v>311</v>
      </c>
      <c r="B133">
        <v>0.39600000000000002</v>
      </c>
      <c r="C133">
        <v>5</v>
      </c>
      <c r="D133">
        <v>-0.25082456099999995</v>
      </c>
      <c r="E133">
        <v>129</v>
      </c>
    </row>
    <row r="134" spans="1:5" x14ac:dyDescent="0.25">
      <c r="A134">
        <v>7</v>
      </c>
      <c r="B134">
        <v>0.39700000000000002</v>
      </c>
      <c r="C134">
        <v>3</v>
      </c>
      <c r="D134">
        <v>-0.22109999999999996</v>
      </c>
      <c r="E134">
        <v>136</v>
      </c>
    </row>
    <row r="135" spans="1:5" x14ac:dyDescent="0.25">
      <c r="A135">
        <v>73</v>
      </c>
      <c r="B135">
        <v>0.40300000000000002</v>
      </c>
      <c r="C135">
        <v>1</v>
      </c>
      <c r="D135">
        <v>-0.18270270300000002</v>
      </c>
      <c r="E135">
        <v>144</v>
      </c>
    </row>
    <row r="136" spans="1:5" x14ac:dyDescent="0.25">
      <c r="A136">
        <v>127</v>
      </c>
      <c r="B136">
        <v>0.41299999999999998</v>
      </c>
      <c r="C136">
        <v>4</v>
      </c>
      <c r="D136">
        <v>-0.22651428600000006</v>
      </c>
      <c r="E136">
        <v>133</v>
      </c>
    </row>
    <row r="137" spans="1:5" x14ac:dyDescent="0.25">
      <c r="A137">
        <v>151</v>
      </c>
      <c r="B137">
        <v>0.41299999999999998</v>
      </c>
      <c r="C137">
        <v>1</v>
      </c>
      <c r="D137">
        <v>-0.17270270300000007</v>
      </c>
      <c r="E137">
        <v>146</v>
      </c>
    </row>
    <row r="138" spans="1:5" x14ac:dyDescent="0.25">
      <c r="A138">
        <v>13</v>
      </c>
      <c r="B138">
        <v>0.42</v>
      </c>
      <c r="C138">
        <v>5</v>
      </c>
      <c r="D138">
        <v>-0.22682456099999998</v>
      </c>
      <c r="E138">
        <v>132</v>
      </c>
    </row>
    <row r="139" spans="1:5" x14ac:dyDescent="0.25">
      <c r="A139">
        <v>238</v>
      </c>
      <c r="B139">
        <v>0.42299999999999999</v>
      </c>
      <c r="C139">
        <v>4</v>
      </c>
      <c r="D139">
        <v>-0.21651428600000006</v>
      </c>
      <c r="E139">
        <v>138</v>
      </c>
    </row>
    <row r="140" spans="1:5" x14ac:dyDescent="0.25">
      <c r="A140">
        <v>11</v>
      </c>
      <c r="B140">
        <v>0.42499999999999999</v>
      </c>
      <c r="C140">
        <v>5</v>
      </c>
      <c r="D140">
        <v>-0.22182456099999998</v>
      </c>
      <c r="E140">
        <v>135</v>
      </c>
    </row>
    <row r="141" spans="1:5" x14ac:dyDescent="0.25">
      <c r="A141">
        <v>66</v>
      </c>
      <c r="B141">
        <v>0.42699999999999999</v>
      </c>
      <c r="C141">
        <v>5</v>
      </c>
      <c r="D141">
        <v>-0.21982456099999997</v>
      </c>
      <c r="E141">
        <v>137</v>
      </c>
    </row>
    <row r="142" spans="1:5" x14ac:dyDescent="0.25">
      <c r="A142">
        <v>68</v>
      </c>
      <c r="B142">
        <v>0.43099999999999999</v>
      </c>
      <c r="C142">
        <v>5</v>
      </c>
      <c r="D142">
        <v>-0.21582456099999997</v>
      </c>
      <c r="E142">
        <v>139</v>
      </c>
    </row>
    <row r="143" spans="1:5" x14ac:dyDescent="0.25">
      <c r="A143">
        <v>95</v>
      </c>
      <c r="B143">
        <v>0.435</v>
      </c>
      <c r="C143">
        <v>1</v>
      </c>
      <c r="D143">
        <v>-0.15070270300000005</v>
      </c>
      <c r="E143">
        <v>152</v>
      </c>
    </row>
    <row r="144" spans="1:5" x14ac:dyDescent="0.25">
      <c r="A144">
        <v>44</v>
      </c>
      <c r="B144">
        <v>0.44600000000000001</v>
      </c>
      <c r="C144">
        <v>1</v>
      </c>
      <c r="D144">
        <v>-0.13970270300000004</v>
      </c>
      <c r="E144">
        <v>156</v>
      </c>
    </row>
    <row r="145" spans="1:5" x14ac:dyDescent="0.25">
      <c r="A145">
        <v>39</v>
      </c>
      <c r="B145">
        <v>0.46300000000000002</v>
      </c>
      <c r="C145">
        <v>2</v>
      </c>
      <c r="D145">
        <v>-0.22484210499999996</v>
      </c>
      <c r="E145">
        <v>134</v>
      </c>
    </row>
    <row r="146" spans="1:5" x14ac:dyDescent="0.25">
      <c r="A146">
        <v>148</v>
      </c>
      <c r="B146">
        <v>0.46300000000000002</v>
      </c>
      <c r="C146">
        <v>3</v>
      </c>
      <c r="D146">
        <v>-0.15509999999999996</v>
      </c>
      <c r="E146">
        <v>150</v>
      </c>
    </row>
    <row r="147" spans="1:5" x14ac:dyDescent="0.25">
      <c r="A147">
        <v>184</v>
      </c>
      <c r="B147">
        <v>0.46600000000000003</v>
      </c>
      <c r="C147">
        <v>5</v>
      </c>
      <c r="D147">
        <v>-0.18082456099999994</v>
      </c>
      <c r="E147">
        <v>145</v>
      </c>
    </row>
    <row r="148" spans="1:5" x14ac:dyDescent="0.25">
      <c r="A148">
        <v>6</v>
      </c>
      <c r="B148">
        <v>0.46800000000000003</v>
      </c>
      <c r="C148">
        <v>3</v>
      </c>
      <c r="D148">
        <v>-0.15009999999999996</v>
      </c>
      <c r="E148">
        <v>153</v>
      </c>
    </row>
    <row r="149" spans="1:5" x14ac:dyDescent="0.25">
      <c r="A149">
        <v>37</v>
      </c>
      <c r="B149">
        <v>0.47299999999999998</v>
      </c>
      <c r="C149">
        <v>3</v>
      </c>
      <c r="D149">
        <v>-0.14510000000000001</v>
      </c>
      <c r="E149">
        <v>154</v>
      </c>
    </row>
    <row r="150" spans="1:5" x14ac:dyDescent="0.25">
      <c r="A150">
        <v>280</v>
      </c>
      <c r="B150">
        <v>0.47299999999999998</v>
      </c>
      <c r="C150">
        <v>1</v>
      </c>
      <c r="D150">
        <v>-0.11270270300000007</v>
      </c>
      <c r="E150">
        <v>159</v>
      </c>
    </row>
    <row r="151" spans="1:5" x14ac:dyDescent="0.25">
      <c r="A151">
        <v>164</v>
      </c>
      <c r="B151">
        <v>0.47499999999999998</v>
      </c>
      <c r="C151">
        <v>2</v>
      </c>
      <c r="D151">
        <v>-0.212842105</v>
      </c>
      <c r="E151">
        <v>140</v>
      </c>
    </row>
    <row r="152" spans="1:5" x14ac:dyDescent="0.25">
      <c r="A152">
        <v>162</v>
      </c>
      <c r="B152">
        <v>0.47599999999999998</v>
      </c>
      <c r="C152">
        <v>5</v>
      </c>
      <c r="D152">
        <v>-0.17082456099999999</v>
      </c>
      <c r="E152">
        <v>147</v>
      </c>
    </row>
    <row r="153" spans="1:5" x14ac:dyDescent="0.25">
      <c r="A153">
        <v>299</v>
      </c>
      <c r="B153">
        <v>0.47699999999999998</v>
      </c>
      <c r="C153">
        <v>2</v>
      </c>
      <c r="D153">
        <v>-0.210842105</v>
      </c>
      <c r="E153">
        <v>141</v>
      </c>
    </row>
    <row r="154" spans="1:5" x14ac:dyDescent="0.25">
      <c r="A154">
        <v>201</v>
      </c>
      <c r="B154">
        <v>0.48699999999999999</v>
      </c>
      <c r="C154">
        <v>4</v>
      </c>
      <c r="D154">
        <v>-0.15251428600000005</v>
      </c>
      <c r="E154">
        <v>151</v>
      </c>
    </row>
    <row r="155" spans="1:5" x14ac:dyDescent="0.25">
      <c r="A155">
        <v>250</v>
      </c>
      <c r="B155">
        <v>0.496</v>
      </c>
      <c r="C155">
        <v>1</v>
      </c>
      <c r="D155">
        <v>-8.970270300000005E-2</v>
      </c>
      <c r="E155">
        <v>162</v>
      </c>
    </row>
    <row r="156" spans="1:5" x14ac:dyDescent="0.25">
      <c r="A156">
        <v>91</v>
      </c>
      <c r="B156">
        <v>0.498</v>
      </c>
      <c r="C156">
        <v>1</v>
      </c>
      <c r="D156">
        <v>-8.7702703000000048E-2</v>
      </c>
      <c r="E156">
        <v>163</v>
      </c>
    </row>
    <row r="157" spans="1:5" x14ac:dyDescent="0.25">
      <c r="A157">
        <v>51</v>
      </c>
      <c r="B157">
        <v>0.5</v>
      </c>
      <c r="C157">
        <v>2</v>
      </c>
      <c r="D157">
        <v>-0.18784210499999998</v>
      </c>
      <c r="E157">
        <v>143</v>
      </c>
    </row>
    <row r="158" spans="1:5" x14ac:dyDescent="0.25">
      <c r="A158">
        <v>240</v>
      </c>
      <c r="B158">
        <v>0.502</v>
      </c>
      <c r="C158">
        <v>5</v>
      </c>
      <c r="D158">
        <v>-0.14482456099999996</v>
      </c>
      <c r="E158">
        <v>155</v>
      </c>
    </row>
    <row r="159" spans="1:5" x14ac:dyDescent="0.25">
      <c r="A159">
        <v>78</v>
      </c>
      <c r="B159">
        <v>0.51400000000000001</v>
      </c>
      <c r="C159">
        <v>1</v>
      </c>
      <c r="D159">
        <v>-7.1702703000000034E-2</v>
      </c>
      <c r="E159">
        <v>164</v>
      </c>
    </row>
    <row r="160" spans="1:5" x14ac:dyDescent="0.25">
      <c r="A160">
        <v>212</v>
      </c>
      <c r="B160">
        <v>0.51500000000000001</v>
      </c>
      <c r="C160">
        <v>5</v>
      </c>
      <c r="D160">
        <v>-0.13182456099999995</v>
      </c>
      <c r="E160">
        <v>157</v>
      </c>
    </row>
    <row r="161" spans="1:5" x14ac:dyDescent="0.25">
      <c r="A161">
        <v>77</v>
      </c>
      <c r="B161">
        <v>0.51800000000000002</v>
      </c>
      <c r="C161">
        <v>2</v>
      </c>
      <c r="D161">
        <v>-0.16984210499999997</v>
      </c>
      <c r="E161">
        <v>148</v>
      </c>
    </row>
    <row r="162" spans="1:5" x14ac:dyDescent="0.25">
      <c r="A162">
        <v>130</v>
      </c>
      <c r="B162">
        <v>0.51800000000000002</v>
      </c>
      <c r="C162">
        <v>3</v>
      </c>
      <c r="D162">
        <v>-0.10009999999999997</v>
      </c>
      <c r="E162">
        <v>160</v>
      </c>
    </row>
    <row r="163" spans="1:5" x14ac:dyDescent="0.25">
      <c r="A163">
        <v>279</v>
      </c>
      <c r="B163">
        <v>0.52600000000000002</v>
      </c>
      <c r="C163">
        <v>3</v>
      </c>
      <c r="D163">
        <v>-9.209999999999996E-2</v>
      </c>
      <c r="E163">
        <v>161</v>
      </c>
    </row>
    <row r="164" spans="1:5" x14ac:dyDescent="0.25">
      <c r="A164">
        <v>79</v>
      </c>
      <c r="B164">
        <v>0.53</v>
      </c>
      <c r="C164">
        <v>5</v>
      </c>
      <c r="D164">
        <v>-0.11682456099999994</v>
      </c>
      <c r="E164">
        <v>158</v>
      </c>
    </row>
    <row r="165" spans="1:5" x14ac:dyDescent="0.25">
      <c r="A165">
        <v>90</v>
      </c>
      <c r="B165">
        <v>0.53200000000000003</v>
      </c>
      <c r="C165">
        <v>2</v>
      </c>
      <c r="D165">
        <v>-0.15584210499999995</v>
      </c>
      <c r="E165">
        <v>149</v>
      </c>
    </row>
    <row r="166" spans="1:5" x14ac:dyDescent="0.25">
      <c r="A166">
        <v>76</v>
      </c>
      <c r="B166">
        <v>0.56799999999999995</v>
      </c>
      <c r="C166">
        <v>1</v>
      </c>
      <c r="D166">
        <v>-1.7702703000000097E-2</v>
      </c>
      <c r="E166">
        <v>170</v>
      </c>
    </row>
    <row r="167" spans="1:5" x14ac:dyDescent="0.25">
      <c r="A167">
        <v>300</v>
      </c>
      <c r="B167">
        <v>0.58099999999999996</v>
      </c>
      <c r="C167">
        <v>5</v>
      </c>
      <c r="D167">
        <v>-6.5824561000000004E-2</v>
      </c>
      <c r="E167">
        <v>165</v>
      </c>
    </row>
    <row r="168" spans="1:5" x14ac:dyDescent="0.25">
      <c r="A168">
        <v>241</v>
      </c>
      <c r="B168">
        <v>0.58499999999999996</v>
      </c>
      <c r="C168">
        <v>1</v>
      </c>
      <c r="D168">
        <v>-7.0270300000008223E-4</v>
      </c>
      <c r="E168">
        <v>173</v>
      </c>
    </row>
    <row r="169" spans="1:5" x14ac:dyDescent="0.25">
      <c r="A169">
        <v>260</v>
      </c>
      <c r="B169">
        <v>0.58599999999999997</v>
      </c>
      <c r="C169">
        <v>1</v>
      </c>
      <c r="D169">
        <v>2.9729699999991865E-4</v>
      </c>
      <c r="E169">
        <v>174</v>
      </c>
    </row>
    <row r="170" spans="1:5" x14ac:dyDescent="0.25">
      <c r="A170">
        <v>105</v>
      </c>
      <c r="B170">
        <v>0.58599999999999997</v>
      </c>
      <c r="C170">
        <v>1</v>
      </c>
      <c r="D170">
        <v>2.9729699999991865E-4</v>
      </c>
      <c r="E170">
        <v>175</v>
      </c>
    </row>
    <row r="171" spans="1:5" x14ac:dyDescent="0.25">
      <c r="A171">
        <v>102</v>
      </c>
      <c r="B171">
        <v>0.59</v>
      </c>
      <c r="C171">
        <v>3</v>
      </c>
      <c r="D171">
        <v>-2.8100000000000014E-2</v>
      </c>
      <c r="E171">
        <v>166</v>
      </c>
    </row>
    <row r="172" spans="1:5" x14ac:dyDescent="0.25">
      <c r="A172">
        <v>258</v>
      </c>
      <c r="B172">
        <v>0.59299999999999997</v>
      </c>
      <c r="C172">
        <v>1</v>
      </c>
      <c r="D172">
        <v>7.2972969999999249E-3</v>
      </c>
      <c r="E172">
        <v>176</v>
      </c>
    </row>
    <row r="173" spans="1:5" x14ac:dyDescent="0.25">
      <c r="A173">
        <v>75</v>
      </c>
      <c r="B173">
        <v>0.61299999999999999</v>
      </c>
      <c r="C173">
        <v>1</v>
      </c>
      <c r="D173">
        <v>2.7297296999999943E-2</v>
      </c>
      <c r="E173">
        <v>181</v>
      </c>
    </row>
    <row r="174" spans="1:5" x14ac:dyDescent="0.25">
      <c r="A174">
        <v>108</v>
      </c>
      <c r="B174">
        <v>0.61399999999999999</v>
      </c>
      <c r="C174">
        <v>4</v>
      </c>
      <c r="D174">
        <v>-2.5514286000000053E-2</v>
      </c>
      <c r="E174">
        <v>168</v>
      </c>
    </row>
    <row r="175" spans="1:5" x14ac:dyDescent="0.25">
      <c r="A175">
        <v>54</v>
      </c>
      <c r="B175">
        <v>0.621</v>
      </c>
      <c r="C175">
        <v>5</v>
      </c>
      <c r="D175">
        <v>-2.5824560999999968E-2</v>
      </c>
      <c r="E175">
        <v>167</v>
      </c>
    </row>
    <row r="176" spans="1:5" x14ac:dyDescent="0.25">
      <c r="A176">
        <v>326</v>
      </c>
      <c r="B176">
        <v>0.625</v>
      </c>
      <c r="C176">
        <v>1</v>
      </c>
      <c r="D176">
        <v>3.9297296999999953E-2</v>
      </c>
      <c r="E176">
        <v>183</v>
      </c>
    </row>
    <row r="177" spans="1:5" x14ac:dyDescent="0.25">
      <c r="A177">
        <v>136</v>
      </c>
      <c r="B177">
        <v>0.63300000000000001</v>
      </c>
      <c r="C177">
        <v>4</v>
      </c>
      <c r="D177">
        <v>-6.5142860000000358E-3</v>
      </c>
      <c r="E177">
        <v>171</v>
      </c>
    </row>
    <row r="178" spans="1:5" x14ac:dyDescent="0.25">
      <c r="A178">
        <v>152</v>
      </c>
      <c r="B178">
        <v>0.63700000000000001</v>
      </c>
      <c r="C178">
        <v>1</v>
      </c>
      <c r="D178">
        <v>5.1297296999999964E-2</v>
      </c>
      <c r="E178">
        <v>185</v>
      </c>
    </row>
    <row r="179" spans="1:5" x14ac:dyDescent="0.25">
      <c r="A179">
        <v>168</v>
      </c>
      <c r="B179">
        <v>0.63800000000000001</v>
      </c>
      <c r="C179">
        <v>4</v>
      </c>
      <c r="D179">
        <v>-1.5142860000000313E-3</v>
      </c>
      <c r="E179">
        <v>172</v>
      </c>
    </row>
    <row r="180" spans="1:5" x14ac:dyDescent="0.25">
      <c r="A180">
        <v>281</v>
      </c>
      <c r="B180">
        <v>0.64200000000000002</v>
      </c>
      <c r="C180">
        <v>1</v>
      </c>
      <c r="D180">
        <v>5.6297296999999968E-2</v>
      </c>
      <c r="E180">
        <v>186</v>
      </c>
    </row>
    <row r="181" spans="1:5" x14ac:dyDescent="0.25">
      <c r="A181">
        <v>23</v>
      </c>
      <c r="B181">
        <v>0.64500000000000002</v>
      </c>
      <c r="C181">
        <v>1</v>
      </c>
      <c r="D181">
        <v>5.9297296999999971E-2</v>
      </c>
      <c r="E181">
        <v>188</v>
      </c>
    </row>
    <row r="182" spans="1:5" x14ac:dyDescent="0.25">
      <c r="A182">
        <v>232</v>
      </c>
      <c r="B182">
        <v>0.65100000000000002</v>
      </c>
      <c r="C182">
        <v>1</v>
      </c>
      <c r="D182">
        <v>6.5297296999999976E-2</v>
      </c>
      <c r="E182">
        <v>189</v>
      </c>
    </row>
    <row r="183" spans="1:5" x14ac:dyDescent="0.25">
      <c r="A183">
        <v>172</v>
      </c>
      <c r="B183">
        <v>0.66</v>
      </c>
      <c r="C183">
        <v>4</v>
      </c>
      <c r="D183">
        <v>2.0485713999999988E-2</v>
      </c>
      <c r="E183">
        <v>179</v>
      </c>
    </row>
    <row r="184" spans="1:5" x14ac:dyDescent="0.25">
      <c r="A184">
        <v>41</v>
      </c>
      <c r="B184">
        <v>0.66500000000000004</v>
      </c>
      <c r="C184">
        <v>2</v>
      </c>
      <c r="D184">
        <v>-2.2842104999999946E-2</v>
      </c>
      <c r="E184">
        <v>169</v>
      </c>
    </row>
    <row r="185" spans="1:5" x14ac:dyDescent="0.25">
      <c r="A185">
        <v>115</v>
      </c>
      <c r="B185">
        <v>0.66600000000000004</v>
      </c>
      <c r="C185">
        <v>4</v>
      </c>
      <c r="D185">
        <v>2.6485713999999994E-2</v>
      </c>
      <c r="E185">
        <v>180</v>
      </c>
    </row>
    <row r="186" spans="1:5" x14ac:dyDescent="0.25">
      <c r="A186">
        <v>97</v>
      </c>
      <c r="B186">
        <v>0.66800000000000004</v>
      </c>
      <c r="C186">
        <v>1</v>
      </c>
      <c r="D186">
        <v>8.2297296999999991E-2</v>
      </c>
      <c r="E186">
        <v>192</v>
      </c>
    </row>
    <row r="187" spans="1:5" x14ac:dyDescent="0.25">
      <c r="A187">
        <v>231</v>
      </c>
      <c r="B187">
        <v>0.67800000000000005</v>
      </c>
      <c r="C187">
        <v>5</v>
      </c>
      <c r="D187">
        <v>3.1175439000000083E-2</v>
      </c>
      <c r="E187">
        <v>182</v>
      </c>
    </row>
    <row r="188" spans="1:5" x14ac:dyDescent="0.25">
      <c r="A188">
        <v>16</v>
      </c>
      <c r="B188">
        <v>0.67900000000000005</v>
      </c>
      <c r="C188">
        <v>4</v>
      </c>
      <c r="D188">
        <v>3.9485714000000005E-2</v>
      </c>
      <c r="E188">
        <v>184</v>
      </c>
    </row>
    <row r="189" spans="1:5" x14ac:dyDescent="0.25">
      <c r="A189">
        <v>291</v>
      </c>
      <c r="B189">
        <v>0.68400000000000005</v>
      </c>
      <c r="C189">
        <v>1</v>
      </c>
      <c r="D189">
        <v>9.8297297000000006E-2</v>
      </c>
      <c r="E189">
        <v>196</v>
      </c>
    </row>
    <row r="190" spans="1:5" x14ac:dyDescent="0.25">
      <c r="A190">
        <v>129</v>
      </c>
      <c r="B190">
        <v>0.68799999999999994</v>
      </c>
      <c r="C190">
        <v>3</v>
      </c>
      <c r="D190">
        <v>6.9899999999999962E-2</v>
      </c>
      <c r="E190">
        <v>190</v>
      </c>
    </row>
    <row r="191" spans="1:5" x14ac:dyDescent="0.25">
      <c r="A191">
        <v>62</v>
      </c>
      <c r="B191">
        <v>0.69499999999999995</v>
      </c>
      <c r="C191">
        <v>1</v>
      </c>
      <c r="D191">
        <v>0.1092972969999999</v>
      </c>
      <c r="E191">
        <v>198</v>
      </c>
    </row>
    <row r="192" spans="1:5" x14ac:dyDescent="0.25">
      <c r="A192">
        <v>87</v>
      </c>
      <c r="B192">
        <v>0.69899999999999995</v>
      </c>
      <c r="C192">
        <v>2</v>
      </c>
      <c r="D192">
        <v>1.1157894999999973E-2</v>
      </c>
      <c r="E192">
        <v>177</v>
      </c>
    </row>
    <row r="193" spans="1:5" x14ac:dyDescent="0.25">
      <c r="A193">
        <v>318</v>
      </c>
      <c r="B193">
        <v>0.70299999999999996</v>
      </c>
      <c r="C193">
        <v>2</v>
      </c>
      <c r="D193">
        <v>1.5157894999999977E-2</v>
      </c>
      <c r="E193">
        <v>178</v>
      </c>
    </row>
    <row r="194" spans="1:5" x14ac:dyDescent="0.25">
      <c r="A194">
        <v>32</v>
      </c>
      <c r="B194">
        <v>0.70299999999999996</v>
      </c>
      <c r="C194">
        <v>3</v>
      </c>
      <c r="D194">
        <v>8.4899999999999975E-2</v>
      </c>
      <c r="E194">
        <v>193</v>
      </c>
    </row>
    <row r="195" spans="1:5" x14ac:dyDescent="0.25">
      <c r="A195">
        <v>193</v>
      </c>
      <c r="B195">
        <v>0.70599999999999996</v>
      </c>
      <c r="C195">
        <v>5</v>
      </c>
      <c r="D195">
        <v>5.9175438999999996E-2</v>
      </c>
      <c r="E195">
        <v>187</v>
      </c>
    </row>
    <row r="196" spans="1:5" x14ac:dyDescent="0.25">
      <c r="A196">
        <v>191</v>
      </c>
      <c r="B196">
        <v>0.71799999999999997</v>
      </c>
      <c r="C196">
        <v>5</v>
      </c>
      <c r="D196">
        <v>7.1175439000000007E-2</v>
      </c>
      <c r="E196">
        <v>191</v>
      </c>
    </row>
    <row r="197" spans="1:5" x14ac:dyDescent="0.25">
      <c r="A197">
        <v>251</v>
      </c>
      <c r="B197">
        <v>0.72599999999999998</v>
      </c>
      <c r="C197">
        <v>1</v>
      </c>
      <c r="D197">
        <v>0.14029729699999993</v>
      </c>
      <c r="E197">
        <v>204</v>
      </c>
    </row>
    <row r="198" spans="1:5" x14ac:dyDescent="0.25">
      <c r="A198">
        <v>285</v>
      </c>
      <c r="B198">
        <v>0.73199999999999998</v>
      </c>
      <c r="C198">
        <v>1</v>
      </c>
      <c r="D198">
        <v>0.14629729699999994</v>
      </c>
      <c r="E198">
        <v>205</v>
      </c>
    </row>
    <row r="199" spans="1:5" x14ac:dyDescent="0.25">
      <c r="A199">
        <v>246</v>
      </c>
      <c r="B199">
        <v>0.73599999999999999</v>
      </c>
      <c r="C199">
        <v>5</v>
      </c>
      <c r="D199">
        <v>8.9175439000000023E-2</v>
      </c>
      <c r="E199">
        <v>194</v>
      </c>
    </row>
    <row r="200" spans="1:5" x14ac:dyDescent="0.25">
      <c r="A200">
        <v>195</v>
      </c>
      <c r="B200">
        <v>0.75</v>
      </c>
      <c r="C200">
        <v>5</v>
      </c>
      <c r="D200">
        <v>0.10317543900000004</v>
      </c>
      <c r="E200">
        <v>197</v>
      </c>
    </row>
    <row r="201" spans="1:5" x14ac:dyDescent="0.25">
      <c r="A201">
        <v>146</v>
      </c>
      <c r="B201">
        <v>0.752</v>
      </c>
      <c r="C201">
        <v>1</v>
      </c>
      <c r="D201">
        <v>0.16629729699999996</v>
      </c>
      <c r="E201">
        <v>210</v>
      </c>
    </row>
    <row r="202" spans="1:5" x14ac:dyDescent="0.25">
      <c r="A202">
        <v>10</v>
      </c>
      <c r="B202">
        <v>0.753</v>
      </c>
      <c r="C202">
        <v>4</v>
      </c>
      <c r="D202">
        <v>0.11348571399999996</v>
      </c>
      <c r="E202">
        <v>199</v>
      </c>
    </row>
    <row r="203" spans="1:5" x14ac:dyDescent="0.25">
      <c r="A203">
        <v>198</v>
      </c>
      <c r="B203">
        <v>0.76100000000000001</v>
      </c>
      <c r="C203">
        <v>5</v>
      </c>
      <c r="D203">
        <v>0.11417543900000005</v>
      </c>
      <c r="E203">
        <v>200</v>
      </c>
    </row>
    <row r="204" spans="1:5" x14ac:dyDescent="0.25">
      <c r="A204">
        <v>12</v>
      </c>
      <c r="B204">
        <v>0.76100000000000001</v>
      </c>
      <c r="C204">
        <v>4</v>
      </c>
      <c r="D204">
        <v>0.12148571399999997</v>
      </c>
      <c r="E204">
        <v>203</v>
      </c>
    </row>
    <row r="205" spans="1:5" x14ac:dyDescent="0.25">
      <c r="A205">
        <v>107</v>
      </c>
      <c r="B205">
        <v>0.76700000000000002</v>
      </c>
      <c r="C205">
        <v>5</v>
      </c>
      <c r="D205">
        <v>0.12017543900000005</v>
      </c>
      <c r="E205">
        <v>201</v>
      </c>
    </row>
    <row r="206" spans="1:5" x14ac:dyDescent="0.25">
      <c r="A206">
        <v>275</v>
      </c>
      <c r="B206">
        <v>0.76700000000000002</v>
      </c>
      <c r="C206">
        <v>3</v>
      </c>
      <c r="D206">
        <v>0.14890000000000003</v>
      </c>
      <c r="E206">
        <v>206</v>
      </c>
    </row>
    <row r="207" spans="1:5" x14ac:dyDescent="0.25">
      <c r="A207">
        <v>56</v>
      </c>
      <c r="B207">
        <v>0.77</v>
      </c>
      <c r="C207">
        <v>3</v>
      </c>
      <c r="D207">
        <v>0.15190000000000003</v>
      </c>
      <c r="E207">
        <v>207</v>
      </c>
    </row>
    <row r="208" spans="1:5" x14ac:dyDescent="0.25">
      <c r="A208">
        <v>69</v>
      </c>
      <c r="B208">
        <v>0.77900000000000003</v>
      </c>
      <c r="C208">
        <v>3</v>
      </c>
      <c r="D208">
        <v>0.16090000000000004</v>
      </c>
      <c r="E208">
        <v>208</v>
      </c>
    </row>
    <row r="209" spans="1:5" x14ac:dyDescent="0.25">
      <c r="A209">
        <v>208</v>
      </c>
      <c r="B209">
        <v>0.78200000000000003</v>
      </c>
      <c r="C209">
        <v>2</v>
      </c>
      <c r="D209">
        <v>9.4157895000000047E-2</v>
      </c>
      <c r="E209">
        <v>195</v>
      </c>
    </row>
    <row r="210" spans="1:5" x14ac:dyDescent="0.25">
      <c r="A210">
        <v>176</v>
      </c>
      <c r="B210">
        <v>0.80200000000000005</v>
      </c>
      <c r="C210">
        <v>4</v>
      </c>
      <c r="D210">
        <v>0.162485714</v>
      </c>
      <c r="E210">
        <v>209</v>
      </c>
    </row>
    <row r="211" spans="1:5" x14ac:dyDescent="0.25">
      <c r="A211">
        <v>106</v>
      </c>
      <c r="B211">
        <v>0.80900000000000005</v>
      </c>
      <c r="C211">
        <v>2</v>
      </c>
      <c r="D211">
        <v>0.12115789500000007</v>
      </c>
      <c r="E211">
        <v>202</v>
      </c>
    </row>
    <row r="212" spans="1:5" x14ac:dyDescent="0.25">
      <c r="A212">
        <v>137</v>
      </c>
      <c r="B212">
        <v>0.82599999999999996</v>
      </c>
      <c r="C212">
        <v>4</v>
      </c>
      <c r="D212">
        <v>0.18648571399999991</v>
      </c>
      <c r="E212">
        <v>212</v>
      </c>
    </row>
    <row r="213" spans="1:5" x14ac:dyDescent="0.25">
      <c r="A213">
        <v>26</v>
      </c>
      <c r="B213">
        <v>0.83199999999999996</v>
      </c>
      <c r="C213">
        <v>4</v>
      </c>
      <c r="D213">
        <v>0.19248571399999992</v>
      </c>
      <c r="E213">
        <v>213</v>
      </c>
    </row>
    <row r="214" spans="1:5" x14ac:dyDescent="0.25">
      <c r="A214">
        <v>132</v>
      </c>
      <c r="B214">
        <v>0.83599999999999997</v>
      </c>
      <c r="C214">
        <v>1</v>
      </c>
      <c r="D214">
        <v>0.25029729699999992</v>
      </c>
      <c r="E214">
        <v>223</v>
      </c>
    </row>
    <row r="215" spans="1:5" x14ac:dyDescent="0.25">
      <c r="A215">
        <v>189</v>
      </c>
      <c r="B215">
        <v>0.84</v>
      </c>
      <c r="C215">
        <v>5</v>
      </c>
      <c r="D215">
        <v>0.193175439</v>
      </c>
      <c r="E215">
        <v>214</v>
      </c>
    </row>
    <row r="216" spans="1:5" x14ac:dyDescent="0.25">
      <c r="A216">
        <v>72</v>
      </c>
      <c r="B216">
        <v>0.84199999999999997</v>
      </c>
      <c r="C216">
        <v>1</v>
      </c>
      <c r="D216">
        <v>0.25629729699999992</v>
      </c>
      <c r="E216">
        <v>224</v>
      </c>
    </row>
    <row r="217" spans="1:5" x14ac:dyDescent="0.25">
      <c r="A217">
        <v>144</v>
      </c>
      <c r="B217">
        <v>0.84399999999999997</v>
      </c>
      <c r="C217">
        <v>3</v>
      </c>
      <c r="D217">
        <v>0.22589999999999999</v>
      </c>
      <c r="E217">
        <v>217</v>
      </c>
    </row>
    <row r="218" spans="1:5" x14ac:dyDescent="0.25">
      <c r="A218">
        <v>321</v>
      </c>
      <c r="B218">
        <v>0.84599999999999997</v>
      </c>
      <c r="C218">
        <v>4</v>
      </c>
      <c r="D218">
        <v>0.20648571399999993</v>
      </c>
      <c r="E218">
        <v>215</v>
      </c>
    </row>
    <row r="219" spans="1:5" x14ac:dyDescent="0.25">
      <c r="A219">
        <v>244</v>
      </c>
      <c r="B219">
        <v>0.86</v>
      </c>
      <c r="C219">
        <v>4</v>
      </c>
      <c r="D219">
        <v>0.22048571399999994</v>
      </c>
      <c r="E219">
        <v>216</v>
      </c>
    </row>
    <row r="220" spans="1:5" x14ac:dyDescent="0.25">
      <c r="A220">
        <v>276</v>
      </c>
      <c r="B220">
        <v>0.86099999999999999</v>
      </c>
      <c r="C220">
        <v>3</v>
      </c>
      <c r="D220">
        <v>0.2429</v>
      </c>
      <c r="E220">
        <v>220</v>
      </c>
    </row>
    <row r="221" spans="1:5" x14ac:dyDescent="0.25">
      <c r="A221">
        <v>222</v>
      </c>
      <c r="B221">
        <v>0.86899999999999999</v>
      </c>
      <c r="C221">
        <v>1</v>
      </c>
      <c r="D221">
        <v>0.28329729699999995</v>
      </c>
      <c r="E221">
        <v>229</v>
      </c>
    </row>
    <row r="222" spans="1:5" x14ac:dyDescent="0.25">
      <c r="A222">
        <v>60</v>
      </c>
      <c r="B222">
        <v>0.87</v>
      </c>
      <c r="C222">
        <v>2</v>
      </c>
      <c r="D222">
        <v>0.18215789500000001</v>
      </c>
      <c r="E222">
        <v>211</v>
      </c>
    </row>
    <row r="223" spans="1:5" x14ac:dyDescent="0.25">
      <c r="A223">
        <v>131</v>
      </c>
      <c r="B223">
        <v>0.874</v>
      </c>
      <c r="C223">
        <v>1</v>
      </c>
      <c r="D223">
        <v>0.28829729699999995</v>
      </c>
      <c r="E223">
        <v>231</v>
      </c>
    </row>
    <row r="224" spans="1:5" x14ac:dyDescent="0.25">
      <c r="A224">
        <v>133</v>
      </c>
      <c r="B224">
        <v>0.878</v>
      </c>
      <c r="C224">
        <v>5</v>
      </c>
      <c r="D224">
        <v>0.23117543900000004</v>
      </c>
      <c r="E224">
        <v>219</v>
      </c>
    </row>
    <row r="225" spans="1:5" x14ac:dyDescent="0.25">
      <c r="A225">
        <v>30</v>
      </c>
      <c r="B225">
        <v>0.88600000000000001</v>
      </c>
      <c r="C225">
        <v>1</v>
      </c>
      <c r="D225">
        <v>0.30029729699999996</v>
      </c>
      <c r="E225">
        <v>234</v>
      </c>
    </row>
    <row r="226" spans="1:5" x14ac:dyDescent="0.25">
      <c r="A226">
        <v>268</v>
      </c>
      <c r="B226">
        <v>0.91100000000000003</v>
      </c>
      <c r="C226">
        <v>4</v>
      </c>
      <c r="D226">
        <v>0.27148571399999999</v>
      </c>
      <c r="E226">
        <v>225</v>
      </c>
    </row>
    <row r="227" spans="1:5" x14ac:dyDescent="0.25">
      <c r="A227">
        <v>327</v>
      </c>
      <c r="B227">
        <v>0.91700000000000004</v>
      </c>
      <c r="C227">
        <v>2</v>
      </c>
      <c r="D227">
        <v>0.22915789500000006</v>
      </c>
      <c r="E227">
        <v>218</v>
      </c>
    </row>
    <row r="228" spans="1:5" x14ac:dyDescent="0.25">
      <c r="A228">
        <v>120</v>
      </c>
      <c r="B228">
        <v>0.91700000000000004</v>
      </c>
      <c r="C228">
        <v>3</v>
      </c>
      <c r="D228">
        <v>0.29890000000000005</v>
      </c>
      <c r="E228">
        <v>233</v>
      </c>
    </row>
    <row r="229" spans="1:5" x14ac:dyDescent="0.25">
      <c r="A229">
        <v>116</v>
      </c>
      <c r="B229">
        <v>0.92400000000000004</v>
      </c>
      <c r="C229">
        <v>1</v>
      </c>
      <c r="D229">
        <v>0.338297297</v>
      </c>
      <c r="E229">
        <v>238</v>
      </c>
    </row>
    <row r="230" spans="1:5" x14ac:dyDescent="0.25">
      <c r="A230">
        <v>306</v>
      </c>
      <c r="B230">
        <v>0.92500000000000004</v>
      </c>
      <c r="C230">
        <v>5</v>
      </c>
      <c r="D230">
        <v>0.27817543900000008</v>
      </c>
      <c r="E230">
        <v>227</v>
      </c>
    </row>
    <row r="231" spans="1:5" x14ac:dyDescent="0.25">
      <c r="A231">
        <v>74</v>
      </c>
      <c r="B231">
        <v>0.92900000000000005</v>
      </c>
      <c r="C231">
        <v>4</v>
      </c>
      <c r="D231">
        <v>0.28948571400000001</v>
      </c>
      <c r="E231">
        <v>232</v>
      </c>
    </row>
    <row r="232" spans="1:5" x14ac:dyDescent="0.25">
      <c r="A232">
        <v>1</v>
      </c>
      <c r="B232">
        <v>0.93100000000000005</v>
      </c>
      <c r="C232">
        <v>2</v>
      </c>
      <c r="D232">
        <v>0.24315789500000007</v>
      </c>
      <c r="E232">
        <v>221</v>
      </c>
    </row>
    <row r="233" spans="1:5" x14ac:dyDescent="0.25">
      <c r="A233">
        <v>82</v>
      </c>
      <c r="B233">
        <v>0.93400000000000005</v>
      </c>
      <c r="C233">
        <v>2</v>
      </c>
      <c r="D233">
        <v>0.24615789500000007</v>
      </c>
      <c r="E233">
        <v>222</v>
      </c>
    </row>
    <row r="234" spans="1:5" x14ac:dyDescent="0.25">
      <c r="A234">
        <v>154</v>
      </c>
      <c r="B234">
        <v>0.93400000000000005</v>
      </c>
      <c r="C234">
        <v>3</v>
      </c>
      <c r="D234">
        <v>0.31590000000000007</v>
      </c>
      <c r="E234">
        <v>235</v>
      </c>
    </row>
    <row r="235" spans="1:5" x14ac:dyDescent="0.25">
      <c r="A235">
        <v>324</v>
      </c>
      <c r="B235">
        <v>0.93799999999999994</v>
      </c>
      <c r="C235">
        <v>1</v>
      </c>
      <c r="D235">
        <v>0.3522972969999999</v>
      </c>
      <c r="E235">
        <v>242</v>
      </c>
    </row>
    <row r="236" spans="1:5" x14ac:dyDescent="0.25">
      <c r="A236">
        <v>313</v>
      </c>
      <c r="B236">
        <v>0.96</v>
      </c>
      <c r="C236">
        <v>2</v>
      </c>
      <c r="D236">
        <v>0.27215789499999998</v>
      </c>
      <c r="E236">
        <v>226</v>
      </c>
    </row>
    <row r="237" spans="1:5" x14ac:dyDescent="0.25">
      <c r="A237">
        <v>27</v>
      </c>
      <c r="B237">
        <v>0.96499999999999997</v>
      </c>
      <c r="C237">
        <v>4</v>
      </c>
      <c r="D237">
        <v>0.32548571399999993</v>
      </c>
      <c r="E237">
        <v>237</v>
      </c>
    </row>
    <row r="238" spans="1:5" x14ac:dyDescent="0.25">
      <c r="A238">
        <v>118</v>
      </c>
      <c r="B238">
        <v>0.96699999999999997</v>
      </c>
      <c r="C238">
        <v>5</v>
      </c>
      <c r="D238">
        <v>0.32017543900000001</v>
      </c>
      <c r="E238">
        <v>236</v>
      </c>
    </row>
    <row r="239" spans="1:5" x14ac:dyDescent="0.25">
      <c r="A239">
        <v>293</v>
      </c>
      <c r="B239">
        <v>0.96799999999999997</v>
      </c>
      <c r="C239">
        <v>3</v>
      </c>
      <c r="D239">
        <v>0.34989999999999999</v>
      </c>
      <c r="E239">
        <v>241</v>
      </c>
    </row>
    <row r="240" spans="1:5" x14ac:dyDescent="0.25">
      <c r="A240">
        <v>48</v>
      </c>
      <c r="B240">
        <v>0.97</v>
      </c>
      <c r="C240">
        <v>2</v>
      </c>
      <c r="D240">
        <v>0.28215789499999999</v>
      </c>
      <c r="E240">
        <v>228</v>
      </c>
    </row>
    <row r="241" spans="1:5" x14ac:dyDescent="0.25">
      <c r="A241">
        <v>81</v>
      </c>
      <c r="B241">
        <v>0.97499999999999998</v>
      </c>
      <c r="C241">
        <v>2</v>
      </c>
      <c r="D241">
        <v>0.287157895</v>
      </c>
      <c r="E241">
        <v>230</v>
      </c>
    </row>
    <row r="242" spans="1:5" x14ac:dyDescent="0.25">
      <c r="A242">
        <v>239</v>
      </c>
      <c r="B242">
        <v>0.98</v>
      </c>
      <c r="C242">
        <v>4</v>
      </c>
      <c r="D242">
        <v>0.34048571399999994</v>
      </c>
      <c r="E242">
        <v>239</v>
      </c>
    </row>
    <row r="243" spans="1:5" x14ac:dyDescent="0.25">
      <c r="A243">
        <v>33</v>
      </c>
      <c r="B243">
        <v>0.98899999999999999</v>
      </c>
      <c r="C243">
        <v>1</v>
      </c>
      <c r="D243">
        <v>0.40329729699999994</v>
      </c>
      <c r="E243">
        <v>245</v>
      </c>
    </row>
    <row r="244" spans="1:5" x14ac:dyDescent="0.25">
      <c r="A244">
        <v>217</v>
      </c>
      <c r="B244">
        <v>0.99</v>
      </c>
      <c r="C244">
        <v>5</v>
      </c>
      <c r="D244">
        <v>0.34317543900000003</v>
      </c>
      <c r="E244">
        <v>240</v>
      </c>
    </row>
    <row r="245" spans="1:5" x14ac:dyDescent="0.25">
      <c r="A245">
        <v>182</v>
      </c>
      <c r="B245">
        <v>1.0069999999999999</v>
      </c>
      <c r="C245">
        <v>4</v>
      </c>
      <c r="D245">
        <v>0.36748571399999985</v>
      </c>
      <c r="E245">
        <v>243</v>
      </c>
    </row>
    <row r="246" spans="1:5" x14ac:dyDescent="0.25">
      <c r="A246">
        <v>65</v>
      </c>
      <c r="B246">
        <v>1.0089999999999999</v>
      </c>
      <c r="C246">
        <v>1</v>
      </c>
      <c r="D246">
        <v>0.42329729699999985</v>
      </c>
      <c r="E246">
        <v>248</v>
      </c>
    </row>
    <row r="247" spans="1:5" x14ac:dyDescent="0.25">
      <c r="A247">
        <v>188</v>
      </c>
      <c r="B247">
        <v>1.018</v>
      </c>
      <c r="C247">
        <v>5</v>
      </c>
      <c r="D247">
        <v>0.37117543900000005</v>
      </c>
      <c r="E247">
        <v>244</v>
      </c>
    </row>
    <row r="248" spans="1:5" x14ac:dyDescent="0.25">
      <c r="A248">
        <v>140</v>
      </c>
      <c r="B248">
        <v>1.052</v>
      </c>
      <c r="C248">
        <v>4</v>
      </c>
      <c r="D248">
        <v>0.412485714</v>
      </c>
      <c r="E248">
        <v>246</v>
      </c>
    </row>
    <row r="249" spans="1:5" x14ac:dyDescent="0.25">
      <c r="A249">
        <v>98</v>
      </c>
      <c r="B249">
        <v>1.0529999999999999</v>
      </c>
      <c r="C249">
        <v>1</v>
      </c>
      <c r="D249">
        <v>0.46729729699999989</v>
      </c>
      <c r="E249">
        <v>256</v>
      </c>
    </row>
    <row r="250" spans="1:5" x14ac:dyDescent="0.25">
      <c r="A250">
        <v>314</v>
      </c>
      <c r="B250">
        <v>1.087</v>
      </c>
      <c r="C250">
        <v>4</v>
      </c>
      <c r="D250">
        <v>0.44748571399999992</v>
      </c>
      <c r="E250">
        <v>250</v>
      </c>
    </row>
    <row r="251" spans="1:5" x14ac:dyDescent="0.25">
      <c r="A251">
        <v>141</v>
      </c>
      <c r="B251">
        <v>1.0920000000000001</v>
      </c>
      <c r="C251">
        <v>5</v>
      </c>
      <c r="D251">
        <v>0.44517543900000012</v>
      </c>
      <c r="E251">
        <v>249</v>
      </c>
    </row>
    <row r="252" spans="1:5" x14ac:dyDescent="0.25">
      <c r="A252">
        <v>42</v>
      </c>
      <c r="B252">
        <v>1.0920000000000001</v>
      </c>
      <c r="C252">
        <v>4</v>
      </c>
      <c r="D252">
        <v>0.45248571400000004</v>
      </c>
      <c r="E252">
        <v>251</v>
      </c>
    </row>
    <row r="253" spans="1:5" x14ac:dyDescent="0.25">
      <c r="A253">
        <v>252</v>
      </c>
      <c r="B253">
        <v>1.0940000000000001</v>
      </c>
      <c r="C253">
        <v>4</v>
      </c>
      <c r="D253">
        <v>0.45448571400000004</v>
      </c>
      <c r="E253">
        <v>252</v>
      </c>
    </row>
    <row r="254" spans="1:5" x14ac:dyDescent="0.25">
      <c r="A254">
        <v>235</v>
      </c>
      <c r="B254">
        <v>1.101</v>
      </c>
      <c r="C254">
        <v>2</v>
      </c>
      <c r="D254">
        <v>0.413157895</v>
      </c>
      <c r="E254">
        <v>247</v>
      </c>
    </row>
    <row r="255" spans="1:5" x14ac:dyDescent="0.25">
      <c r="A255">
        <v>15</v>
      </c>
      <c r="B255">
        <v>1.1080000000000001</v>
      </c>
      <c r="C255">
        <v>5</v>
      </c>
      <c r="D255">
        <v>0.46117543900000013</v>
      </c>
      <c r="E255">
        <v>255</v>
      </c>
    </row>
    <row r="256" spans="1:5" x14ac:dyDescent="0.25">
      <c r="A256">
        <v>111</v>
      </c>
      <c r="B256">
        <v>1.1299999999999999</v>
      </c>
      <c r="C256">
        <v>3</v>
      </c>
      <c r="D256">
        <v>0.51189999999999991</v>
      </c>
      <c r="E256">
        <v>258</v>
      </c>
    </row>
    <row r="257" spans="1:5" x14ac:dyDescent="0.25">
      <c r="A257">
        <v>205</v>
      </c>
      <c r="B257">
        <v>1.143</v>
      </c>
      <c r="C257">
        <v>5</v>
      </c>
      <c r="D257">
        <v>0.49617543900000005</v>
      </c>
      <c r="E257">
        <v>257</v>
      </c>
    </row>
    <row r="258" spans="1:5" x14ac:dyDescent="0.25">
      <c r="A258">
        <v>289</v>
      </c>
      <c r="B258">
        <v>1.1439999999999999</v>
      </c>
      <c r="C258">
        <v>2</v>
      </c>
      <c r="D258">
        <v>0.45615789499999992</v>
      </c>
      <c r="E258">
        <v>253</v>
      </c>
    </row>
    <row r="259" spans="1:5" x14ac:dyDescent="0.25">
      <c r="A259">
        <v>83</v>
      </c>
      <c r="B259">
        <v>1.1459999999999999</v>
      </c>
      <c r="C259">
        <v>2</v>
      </c>
      <c r="D259">
        <v>0.45815789499999993</v>
      </c>
      <c r="E259">
        <v>254</v>
      </c>
    </row>
    <row r="260" spans="1:5" x14ac:dyDescent="0.25">
      <c r="A260">
        <v>119</v>
      </c>
      <c r="B260">
        <v>1.1830000000000001</v>
      </c>
      <c r="C260">
        <v>4</v>
      </c>
      <c r="D260">
        <v>0.54348571400000001</v>
      </c>
      <c r="E260">
        <v>259</v>
      </c>
    </row>
    <row r="261" spans="1:5" x14ac:dyDescent="0.25">
      <c r="A261">
        <v>292</v>
      </c>
      <c r="B261">
        <v>1.2010000000000001</v>
      </c>
      <c r="C261">
        <v>5</v>
      </c>
      <c r="D261">
        <v>0.5541754390000001</v>
      </c>
      <c r="E261">
        <v>260</v>
      </c>
    </row>
    <row r="262" spans="1:5" x14ac:dyDescent="0.25">
      <c r="A262">
        <v>218</v>
      </c>
      <c r="B262">
        <v>1.2190000000000001</v>
      </c>
      <c r="C262">
        <v>4</v>
      </c>
      <c r="D262">
        <v>0.57948571400000004</v>
      </c>
      <c r="E262">
        <v>263</v>
      </c>
    </row>
    <row r="263" spans="1:5" x14ac:dyDescent="0.25">
      <c r="A263">
        <v>166</v>
      </c>
      <c r="B263">
        <v>1.2509999999999999</v>
      </c>
      <c r="C263">
        <v>2</v>
      </c>
      <c r="D263">
        <v>0.56315789499999991</v>
      </c>
      <c r="E263">
        <v>261</v>
      </c>
    </row>
    <row r="264" spans="1:5" x14ac:dyDescent="0.25">
      <c r="A264">
        <v>84</v>
      </c>
      <c r="B264">
        <v>1.262</v>
      </c>
      <c r="C264">
        <v>2</v>
      </c>
      <c r="D264">
        <v>0.57415789500000003</v>
      </c>
      <c r="E264">
        <v>262</v>
      </c>
    </row>
    <row r="265" spans="1:5" x14ac:dyDescent="0.25">
      <c r="A265">
        <v>59</v>
      </c>
      <c r="B265">
        <v>1.2629999999999999</v>
      </c>
      <c r="C265">
        <v>3</v>
      </c>
      <c r="D265">
        <v>0.64489999999999992</v>
      </c>
      <c r="E265">
        <v>267</v>
      </c>
    </row>
    <row r="266" spans="1:5" x14ac:dyDescent="0.25">
      <c r="A266">
        <v>253</v>
      </c>
      <c r="B266">
        <v>1.2749999999999999</v>
      </c>
      <c r="C266">
        <v>5</v>
      </c>
      <c r="D266">
        <v>0.62817543899999995</v>
      </c>
      <c r="E266">
        <v>266</v>
      </c>
    </row>
    <row r="267" spans="1:5" x14ac:dyDescent="0.25">
      <c r="A267">
        <v>61</v>
      </c>
      <c r="B267">
        <v>1.2889999999999999</v>
      </c>
      <c r="C267">
        <v>2</v>
      </c>
      <c r="D267">
        <v>0.60115789499999994</v>
      </c>
      <c r="E267">
        <v>264</v>
      </c>
    </row>
    <row r="268" spans="1:5" x14ac:dyDescent="0.25">
      <c r="A268">
        <v>71</v>
      </c>
      <c r="B268">
        <v>1.292</v>
      </c>
      <c r="C268">
        <v>2</v>
      </c>
      <c r="D268">
        <v>0.60415789500000006</v>
      </c>
      <c r="E268">
        <v>265</v>
      </c>
    </row>
    <row r="269" spans="1:5" x14ac:dyDescent="0.25">
      <c r="A269">
        <v>143</v>
      </c>
      <c r="B269">
        <v>1.3280000000000001</v>
      </c>
      <c r="C269">
        <v>4</v>
      </c>
      <c r="D269">
        <v>0.68848571400000003</v>
      </c>
      <c r="E269">
        <v>268</v>
      </c>
    </row>
    <row r="270" spans="1:5" x14ac:dyDescent="0.25">
      <c r="A270">
        <v>192</v>
      </c>
      <c r="B270">
        <v>1.3360000000000001</v>
      </c>
      <c r="C270">
        <v>4</v>
      </c>
      <c r="D270">
        <v>0.69648571400000003</v>
      </c>
      <c r="E270">
        <v>269</v>
      </c>
    </row>
    <row r="271" spans="1:5" x14ac:dyDescent="0.25">
      <c r="A271">
        <v>179</v>
      </c>
      <c r="B271">
        <v>1.345</v>
      </c>
      <c r="C271">
        <v>3</v>
      </c>
      <c r="D271">
        <v>0.72689999999999999</v>
      </c>
      <c r="E271">
        <v>271</v>
      </c>
    </row>
    <row r="272" spans="1:5" x14ac:dyDescent="0.25">
      <c r="A272">
        <v>319</v>
      </c>
      <c r="B272">
        <v>1.3480000000000001</v>
      </c>
      <c r="C272">
        <v>3</v>
      </c>
      <c r="D272">
        <v>0.7299000000000001</v>
      </c>
      <c r="E272">
        <v>272</v>
      </c>
    </row>
    <row r="273" spans="1:5" x14ac:dyDescent="0.25">
      <c r="A273">
        <v>175</v>
      </c>
      <c r="B273">
        <v>1.3779999999999999</v>
      </c>
      <c r="C273">
        <v>5</v>
      </c>
      <c r="D273">
        <v>0.73117543899999993</v>
      </c>
      <c r="E273">
        <v>273</v>
      </c>
    </row>
    <row r="274" spans="1:5" x14ac:dyDescent="0.25">
      <c r="A274">
        <v>226</v>
      </c>
      <c r="B274">
        <v>1.379</v>
      </c>
      <c r="C274">
        <v>3</v>
      </c>
      <c r="D274">
        <v>0.76090000000000002</v>
      </c>
      <c r="E274">
        <v>274</v>
      </c>
    </row>
    <row r="275" spans="1:5" x14ac:dyDescent="0.25">
      <c r="A275">
        <v>86</v>
      </c>
      <c r="B275">
        <v>1.4039999999999999</v>
      </c>
      <c r="C275">
        <v>2</v>
      </c>
      <c r="D275">
        <v>0.71615789499999993</v>
      </c>
      <c r="E275">
        <v>270</v>
      </c>
    </row>
    <row r="276" spans="1:5" x14ac:dyDescent="0.25">
      <c r="A276">
        <v>308</v>
      </c>
      <c r="B276">
        <v>1.4079999999999999</v>
      </c>
      <c r="C276">
        <v>3</v>
      </c>
      <c r="D276">
        <v>0.78989999999999994</v>
      </c>
      <c r="E276">
        <v>275</v>
      </c>
    </row>
    <row r="277" spans="1:5" x14ac:dyDescent="0.25">
      <c r="A277">
        <v>227</v>
      </c>
      <c r="B277">
        <v>1.4550000000000001</v>
      </c>
      <c r="C277">
        <v>4</v>
      </c>
      <c r="D277">
        <v>0.81548571400000003</v>
      </c>
      <c r="E277">
        <v>277</v>
      </c>
    </row>
    <row r="278" spans="1:5" x14ac:dyDescent="0.25">
      <c r="A278">
        <v>312</v>
      </c>
      <c r="B278">
        <v>1.4630000000000001</v>
      </c>
      <c r="C278">
        <v>4</v>
      </c>
      <c r="D278">
        <v>0.82348571400000004</v>
      </c>
      <c r="E278">
        <v>278</v>
      </c>
    </row>
    <row r="279" spans="1:5" x14ac:dyDescent="0.25">
      <c r="A279">
        <v>180</v>
      </c>
      <c r="B279">
        <v>1.464</v>
      </c>
      <c r="C279">
        <v>4</v>
      </c>
      <c r="D279">
        <v>0.82448571399999993</v>
      </c>
      <c r="E279">
        <v>279</v>
      </c>
    </row>
    <row r="280" spans="1:5" x14ac:dyDescent="0.25">
      <c r="A280">
        <v>50</v>
      </c>
      <c r="B280">
        <v>1.4970000000000001</v>
      </c>
      <c r="C280">
        <v>2</v>
      </c>
      <c r="D280">
        <v>0.80915789500000013</v>
      </c>
      <c r="E280">
        <v>276</v>
      </c>
    </row>
    <row r="281" spans="1:5" x14ac:dyDescent="0.25">
      <c r="A281">
        <v>25</v>
      </c>
      <c r="B281">
        <v>1.5029999999999999</v>
      </c>
      <c r="C281">
        <v>5</v>
      </c>
      <c r="D281">
        <v>0.85617543899999993</v>
      </c>
      <c r="E281">
        <v>280</v>
      </c>
    </row>
    <row r="282" spans="1:5" x14ac:dyDescent="0.25">
      <c r="A282">
        <v>284</v>
      </c>
      <c r="B282">
        <v>1.536</v>
      </c>
      <c r="C282">
        <v>1</v>
      </c>
      <c r="D282">
        <v>0.95029729699999999</v>
      </c>
      <c r="E282">
        <v>284</v>
      </c>
    </row>
    <row r="283" spans="1:5" x14ac:dyDescent="0.25">
      <c r="A283">
        <v>224</v>
      </c>
      <c r="B283">
        <v>1.5369999999999999</v>
      </c>
      <c r="C283">
        <v>4</v>
      </c>
      <c r="D283">
        <v>0.89748571399999988</v>
      </c>
      <c r="E283">
        <v>281</v>
      </c>
    </row>
    <row r="284" spans="1:5" x14ac:dyDescent="0.25">
      <c r="A284">
        <v>220</v>
      </c>
      <c r="B284">
        <v>1.5860000000000001</v>
      </c>
      <c r="C284">
        <v>4</v>
      </c>
      <c r="D284">
        <v>0.94648571400000003</v>
      </c>
      <c r="E284">
        <v>283</v>
      </c>
    </row>
    <row r="285" spans="1:5" x14ac:dyDescent="0.25">
      <c r="A285">
        <v>302</v>
      </c>
      <c r="B285">
        <v>1.6080000000000001</v>
      </c>
      <c r="C285">
        <v>5</v>
      </c>
      <c r="D285">
        <v>0.96117543900000013</v>
      </c>
      <c r="E285">
        <v>285</v>
      </c>
    </row>
    <row r="286" spans="1:5" x14ac:dyDescent="0.25">
      <c r="A286">
        <v>229</v>
      </c>
      <c r="B286">
        <v>1.623</v>
      </c>
      <c r="C286">
        <v>2</v>
      </c>
      <c r="D286">
        <v>0.93515789500000002</v>
      </c>
      <c r="E286">
        <v>282</v>
      </c>
    </row>
    <row r="287" spans="1:5" x14ac:dyDescent="0.25">
      <c r="A287">
        <v>328</v>
      </c>
      <c r="B287">
        <v>1.6459999999999999</v>
      </c>
      <c r="C287">
        <v>5</v>
      </c>
      <c r="D287">
        <v>0.99917543899999994</v>
      </c>
      <c r="E287">
        <v>287</v>
      </c>
    </row>
    <row r="288" spans="1:5" x14ac:dyDescent="0.25">
      <c r="A288">
        <v>264</v>
      </c>
      <c r="B288">
        <v>1.649</v>
      </c>
      <c r="C288">
        <v>4</v>
      </c>
      <c r="D288">
        <v>1.009485714</v>
      </c>
      <c r="E288">
        <v>288</v>
      </c>
    </row>
    <row r="289" spans="1:5" x14ac:dyDescent="0.25">
      <c r="A289">
        <v>29</v>
      </c>
      <c r="B289">
        <v>1.6619999999999999</v>
      </c>
      <c r="C289">
        <v>5</v>
      </c>
      <c r="D289">
        <v>1.0151754390000001</v>
      </c>
      <c r="E289">
        <v>289</v>
      </c>
    </row>
    <row r="290" spans="1:5" x14ac:dyDescent="0.25">
      <c r="A290">
        <v>177</v>
      </c>
      <c r="B290">
        <v>1.679</v>
      </c>
      <c r="C290">
        <v>5</v>
      </c>
      <c r="D290">
        <v>1.032175439</v>
      </c>
      <c r="E290">
        <v>290</v>
      </c>
    </row>
    <row r="291" spans="1:5" x14ac:dyDescent="0.25">
      <c r="A291">
        <v>43</v>
      </c>
      <c r="B291">
        <v>1.681</v>
      </c>
      <c r="C291">
        <v>2</v>
      </c>
      <c r="D291">
        <v>0.99315789500000007</v>
      </c>
      <c r="E291">
        <v>286</v>
      </c>
    </row>
    <row r="292" spans="1:5" x14ac:dyDescent="0.25">
      <c r="A292">
        <v>134</v>
      </c>
      <c r="B292">
        <v>1.6859999999999999</v>
      </c>
      <c r="C292">
        <v>3</v>
      </c>
      <c r="D292">
        <v>1.0678999999999998</v>
      </c>
      <c r="E292">
        <v>291</v>
      </c>
    </row>
    <row r="293" spans="1:5" x14ac:dyDescent="0.25">
      <c r="A293">
        <v>3</v>
      </c>
      <c r="B293">
        <v>1.718</v>
      </c>
      <c r="C293">
        <v>5</v>
      </c>
      <c r="D293">
        <v>1.0711754390000001</v>
      </c>
      <c r="E293">
        <v>292</v>
      </c>
    </row>
    <row r="294" spans="1:5" x14ac:dyDescent="0.25">
      <c r="A294">
        <v>261</v>
      </c>
      <c r="B294">
        <v>1.7310000000000001</v>
      </c>
      <c r="C294">
        <v>1</v>
      </c>
      <c r="D294">
        <v>1.1452972969999999</v>
      </c>
      <c r="E294">
        <v>294</v>
      </c>
    </row>
    <row r="295" spans="1:5" x14ac:dyDescent="0.25">
      <c r="A295">
        <v>70</v>
      </c>
      <c r="B295">
        <v>1.746</v>
      </c>
      <c r="C295">
        <v>1</v>
      </c>
      <c r="D295">
        <v>1.1602972970000001</v>
      </c>
      <c r="E295">
        <v>295</v>
      </c>
    </row>
    <row r="296" spans="1:5" x14ac:dyDescent="0.25">
      <c r="A296">
        <v>122</v>
      </c>
      <c r="B296">
        <v>1.7709999999999999</v>
      </c>
      <c r="C296">
        <v>1</v>
      </c>
      <c r="D296">
        <v>1.185297297</v>
      </c>
      <c r="E296">
        <v>297</v>
      </c>
    </row>
    <row r="297" spans="1:5" x14ac:dyDescent="0.25">
      <c r="A297">
        <v>309</v>
      </c>
      <c r="B297">
        <v>1.8129999999999999</v>
      </c>
      <c r="C297">
        <v>2</v>
      </c>
      <c r="D297">
        <v>1.1251578950000001</v>
      </c>
      <c r="E297">
        <v>293</v>
      </c>
    </row>
    <row r="298" spans="1:5" x14ac:dyDescent="0.25">
      <c r="A298">
        <v>223</v>
      </c>
      <c r="B298">
        <v>1.8380000000000001</v>
      </c>
      <c r="C298">
        <v>1</v>
      </c>
      <c r="D298">
        <v>1.2522972970000001</v>
      </c>
      <c r="E298">
        <v>299</v>
      </c>
    </row>
    <row r="299" spans="1:5" x14ac:dyDescent="0.25">
      <c r="A299">
        <v>181</v>
      </c>
      <c r="B299">
        <v>1.845</v>
      </c>
      <c r="C299">
        <v>4</v>
      </c>
      <c r="D299">
        <v>1.2054857139999999</v>
      </c>
      <c r="E299">
        <v>298</v>
      </c>
    </row>
    <row r="300" spans="1:5" x14ac:dyDescent="0.25">
      <c r="A300">
        <v>5</v>
      </c>
      <c r="B300">
        <v>1.87</v>
      </c>
      <c r="C300">
        <v>2</v>
      </c>
      <c r="D300">
        <v>1.182157895</v>
      </c>
      <c r="E300">
        <v>296</v>
      </c>
    </row>
    <row r="301" spans="1:5" x14ac:dyDescent="0.25">
      <c r="A301">
        <v>259</v>
      </c>
      <c r="B301">
        <v>1.875</v>
      </c>
      <c r="C301">
        <v>1</v>
      </c>
      <c r="D301">
        <v>1.2892972970000001</v>
      </c>
      <c r="E301">
        <v>301</v>
      </c>
    </row>
    <row r="302" spans="1:5" x14ac:dyDescent="0.25">
      <c r="A302">
        <v>167</v>
      </c>
      <c r="B302">
        <v>1.952</v>
      </c>
      <c r="C302">
        <v>3</v>
      </c>
      <c r="D302">
        <v>1.3338999999999999</v>
      </c>
      <c r="E302">
        <v>303</v>
      </c>
    </row>
    <row r="303" spans="1:5" x14ac:dyDescent="0.25">
      <c r="A303">
        <v>221</v>
      </c>
      <c r="B303">
        <v>1.958</v>
      </c>
      <c r="C303">
        <v>2</v>
      </c>
      <c r="D303">
        <v>1.2701578950000001</v>
      </c>
      <c r="E303">
        <v>300</v>
      </c>
    </row>
    <row r="304" spans="1:5" x14ac:dyDescent="0.25">
      <c r="A304">
        <v>194</v>
      </c>
      <c r="B304">
        <v>1.9710000000000001</v>
      </c>
      <c r="C304">
        <v>4</v>
      </c>
      <c r="D304">
        <v>1.331485714</v>
      </c>
      <c r="E304">
        <v>302</v>
      </c>
    </row>
    <row r="305" spans="1:5" x14ac:dyDescent="0.25">
      <c r="A305">
        <v>158</v>
      </c>
      <c r="B305">
        <v>2.0129999999999999</v>
      </c>
      <c r="C305">
        <v>4</v>
      </c>
      <c r="D305">
        <v>1.3734857139999999</v>
      </c>
      <c r="E305">
        <v>304</v>
      </c>
    </row>
    <row r="306" spans="1:5" x14ac:dyDescent="0.25">
      <c r="A306">
        <v>99</v>
      </c>
      <c r="B306">
        <v>2.101</v>
      </c>
      <c r="C306">
        <v>2</v>
      </c>
      <c r="D306">
        <v>1.4131578949999999</v>
      </c>
      <c r="E306">
        <v>305</v>
      </c>
    </row>
    <row r="307" spans="1:5" x14ac:dyDescent="0.25">
      <c r="A307">
        <v>295</v>
      </c>
      <c r="B307">
        <v>2.16</v>
      </c>
      <c r="C307">
        <v>3</v>
      </c>
      <c r="D307">
        <v>1.5419</v>
      </c>
      <c r="E307">
        <v>306</v>
      </c>
    </row>
    <row r="308" spans="1:5" x14ac:dyDescent="0.25">
      <c r="A308">
        <v>298</v>
      </c>
      <c r="B308">
        <v>2.1739999999999999</v>
      </c>
      <c r="C308">
        <v>3</v>
      </c>
      <c r="D308">
        <v>1.5558999999999998</v>
      </c>
      <c r="E308">
        <v>307</v>
      </c>
    </row>
    <row r="309" spans="1:5" x14ac:dyDescent="0.25">
      <c r="A309">
        <v>145</v>
      </c>
      <c r="B309">
        <v>3.383</v>
      </c>
      <c r="C309">
        <v>1</v>
      </c>
      <c r="D309">
        <v>2.7972972970000001</v>
      </c>
      <c r="E309">
        <v>308</v>
      </c>
    </row>
  </sheetData>
  <sortState xmlns:xlrd2="http://schemas.microsoft.com/office/spreadsheetml/2017/richdata2" ref="A2:E309">
    <sortCondition ref="B2:B309"/>
  </sortState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5"/>
  <sheetViews>
    <sheetView workbookViewId="0"/>
  </sheetViews>
  <sheetFormatPr defaultColWidth="10.75" defaultRowHeight="15.75" x14ac:dyDescent="0.25"/>
  <cols>
    <col min="6" max="6" width="19.75" customWidth="1"/>
  </cols>
  <sheetData>
    <row r="1" spans="1:6" x14ac:dyDescent="0.25">
      <c r="A1" s="7" t="s">
        <v>0</v>
      </c>
      <c r="B1" s="7" t="s">
        <v>14</v>
      </c>
      <c r="C1" s="7" t="s">
        <v>13</v>
      </c>
      <c r="D1" s="7" t="s">
        <v>10</v>
      </c>
      <c r="F1" s="7" t="s">
        <v>9</v>
      </c>
    </row>
    <row r="2" spans="1:6" x14ac:dyDescent="0.25">
      <c r="A2">
        <v>1</v>
      </c>
      <c r="B2" s="10">
        <v>255</v>
      </c>
      <c r="C2">
        <v>1.2E-2</v>
      </c>
      <c r="D2">
        <f>C2-0.5857</f>
        <v>-0.57369999999999999</v>
      </c>
      <c r="F2">
        <f>AVERAGE(C:C)</f>
        <v>0.58570270270270264</v>
      </c>
    </row>
    <row r="3" spans="1:6" x14ac:dyDescent="0.25">
      <c r="A3">
        <v>1</v>
      </c>
      <c r="B3" s="10">
        <v>277</v>
      </c>
      <c r="C3">
        <v>2.7E-2</v>
      </c>
      <c r="D3">
        <f t="shared" ref="D3:D66" si="0">C3-0.5857</f>
        <v>-0.55869999999999997</v>
      </c>
    </row>
    <row r="4" spans="1:6" x14ac:dyDescent="0.25">
      <c r="A4">
        <v>1</v>
      </c>
      <c r="B4" s="10">
        <v>147</v>
      </c>
      <c r="C4">
        <v>3.1E-2</v>
      </c>
      <c r="D4">
        <f t="shared" si="0"/>
        <v>-0.55469999999999997</v>
      </c>
      <c r="F4" s="11" t="s">
        <v>15</v>
      </c>
    </row>
    <row r="5" spans="1:6" x14ac:dyDescent="0.25">
      <c r="A5">
        <v>1</v>
      </c>
      <c r="B5" s="10">
        <v>45</v>
      </c>
      <c r="C5">
        <v>3.4000000000000002E-2</v>
      </c>
      <c r="D5">
        <f t="shared" si="0"/>
        <v>-0.55169999999999997</v>
      </c>
    </row>
    <row r="6" spans="1:6" x14ac:dyDescent="0.25">
      <c r="A6">
        <v>1</v>
      </c>
      <c r="B6" s="10">
        <v>24</v>
      </c>
      <c r="C6">
        <v>4.8000000000000001E-2</v>
      </c>
      <c r="D6">
        <f t="shared" si="0"/>
        <v>-0.53769999999999996</v>
      </c>
    </row>
    <row r="7" spans="1:6" x14ac:dyDescent="0.25">
      <c r="A7">
        <v>1</v>
      </c>
      <c r="B7" s="10">
        <v>121</v>
      </c>
      <c r="C7">
        <v>6.3E-2</v>
      </c>
      <c r="D7">
        <f t="shared" si="0"/>
        <v>-0.52269999999999994</v>
      </c>
    </row>
    <row r="8" spans="1:6" x14ac:dyDescent="0.25">
      <c r="A8">
        <v>1</v>
      </c>
      <c r="B8" s="10">
        <v>270</v>
      </c>
      <c r="C8">
        <v>6.9000000000000006E-2</v>
      </c>
      <c r="D8">
        <f t="shared" si="0"/>
        <v>-0.51669999999999994</v>
      </c>
    </row>
    <row r="9" spans="1:6" x14ac:dyDescent="0.25">
      <c r="A9">
        <v>1</v>
      </c>
      <c r="B9" s="10">
        <v>40</v>
      </c>
      <c r="C9">
        <v>8.5000000000000006E-2</v>
      </c>
      <c r="D9">
        <f t="shared" si="0"/>
        <v>-0.50070000000000003</v>
      </c>
    </row>
    <row r="10" spans="1:6" x14ac:dyDescent="0.25">
      <c r="A10">
        <v>1</v>
      </c>
      <c r="B10" s="10">
        <v>288</v>
      </c>
      <c r="C10">
        <v>8.5000000000000006E-2</v>
      </c>
      <c r="D10">
        <f t="shared" si="0"/>
        <v>-0.50070000000000003</v>
      </c>
    </row>
    <row r="11" spans="1:6" x14ac:dyDescent="0.25">
      <c r="A11">
        <v>1</v>
      </c>
      <c r="B11" s="10">
        <v>113</v>
      </c>
      <c r="C11">
        <v>8.6999999999999994E-2</v>
      </c>
      <c r="D11">
        <f t="shared" si="0"/>
        <v>-0.49870000000000003</v>
      </c>
    </row>
    <row r="12" spans="1:6" x14ac:dyDescent="0.25">
      <c r="A12">
        <v>1</v>
      </c>
      <c r="B12" s="10">
        <v>287</v>
      </c>
      <c r="C12">
        <v>9.7000000000000003E-2</v>
      </c>
      <c r="D12">
        <f t="shared" si="0"/>
        <v>-0.48870000000000002</v>
      </c>
    </row>
    <row r="13" spans="1:6" x14ac:dyDescent="0.25">
      <c r="A13">
        <v>1</v>
      </c>
      <c r="B13" s="10">
        <v>233</v>
      </c>
      <c r="C13">
        <v>0.109</v>
      </c>
      <c r="D13">
        <f t="shared" si="0"/>
        <v>-0.47670000000000001</v>
      </c>
    </row>
    <row r="14" spans="1:6" x14ac:dyDescent="0.25">
      <c r="A14">
        <v>1</v>
      </c>
      <c r="B14" s="10">
        <v>273</v>
      </c>
      <c r="C14">
        <v>0.13200000000000001</v>
      </c>
      <c r="D14">
        <f t="shared" si="0"/>
        <v>-0.45369999999999999</v>
      </c>
    </row>
    <row r="15" spans="1:6" x14ac:dyDescent="0.25">
      <c r="A15">
        <v>1</v>
      </c>
      <c r="B15" s="10">
        <v>214</v>
      </c>
      <c r="C15">
        <v>0.14000000000000001</v>
      </c>
      <c r="D15">
        <f t="shared" si="0"/>
        <v>-0.44569999999999999</v>
      </c>
    </row>
    <row r="16" spans="1:6" x14ac:dyDescent="0.25">
      <c r="A16">
        <v>1</v>
      </c>
      <c r="B16" s="10">
        <v>94</v>
      </c>
      <c r="C16">
        <v>0.159</v>
      </c>
      <c r="D16">
        <f t="shared" si="0"/>
        <v>-0.42669999999999997</v>
      </c>
    </row>
    <row r="17" spans="1:4" x14ac:dyDescent="0.25">
      <c r="A17">
        <v>1</v>
      </c>
      <c r="B17" s="10">
        <v>283</v>
      </c>
      <c r="C17">
        <v>0.16600000000000001</v>
      </c>
      <c r="D17">
        <f t="shared" si="0"/>
        <v>-0.41969999999999996</v>
      </c>
    </row>
    <row r="18" spans="1:4" x14ac:dyDescent="0.25">
      <c r="A18">
        <v>1</v>
      </c>
      <c r="B18" s="10">
        <v>204</v>
      </c>
      <c r="C18">
        <v>0.17799999999999999</v>
      </c>
      <c r="D18">
        <f t="shared" si="0"/>
        <v>-0.40770000000000001</v>
      </c>
    </row>
    <row r="19" spans="1:4" x14ac:dyDescent="0.25">
      <c r="A19">
        <v>1</v>
      </c>
      <c r="B19" s="10">
        <v>256</v>
      </c>
      <c r="C19">
        <v>0.17899999999999999</v>
      </c>
      <c r="D19">
        <f t="shared" si="0"/>
        <v>-0.40670000000000001</v>
      </c>
    </row>
    <row r="20" spans="1:4" x14ac:dyDescent="0.25">
      <c r="A20">
        <v>1</v>
      </c>
      <c r="B20" s="10">
        <v>4</v>
      </c>
      <c r="C20">
        <v>0.191</v>
      </c>
      <c r="D20">
        <f t="shared" si="0"/>
        <v>-0.3947</v>
      </c>
    </row>
    <row r="21" spans="1:4" x14ac:dyDescent="0.25">
      <c r="A21">
        <v>1</v>
      </c>
      <c r="B21" s="1">
        <v>266</v>
      </c>
      <c r="C21">
        <v>0.19700000000000001</v>
      </c>
      <c r="D21">
        <f t="shared" si="0"/>
        <v>-0.38869999999999999</v>
      </c>
    </row>
    <row r="22" spans="1:4" x14ac:dyDescent="0.25">
      <c r="A22">
        <v>1</v>
      </c>
      <c r="B22" s="1">
        <v>89</v>
      </c>
      <c r="C22">
        <v>0.20100000000000001</v>
      </c>
      <c r="D22">
        <f t="shared" si="0"/>
        <v>-0.38469999999999999</v>
      </c>
    </row>
    <row r="23" spans="1:4" x14ac:dyDescent="0.25">
      <c r="A23">
        <v>1</v>
      </c>
      <c r="B23" s="1">
        <v>248</v>
      </c>
      <c r="C23">
        <v>0.23499999999999999</v>
      </c>
      <c r="D23">
        <f t="shared" si="0"/>
        <v>-0.35070000000000001</v>
      </c>
    </row>
    <row r="24" spans="1:4" x14ac:dyDescent="0.25">
      <c r="A24">
        <v>1</v>
      </c>
      <c r="B24" s="1">
        <v>114</v>
      </c>
      <c r="C24">
        <v>0.23899999999999999</v>
      </c>
      <c r="D24">
        <f t="shared" si="0"/>
        <v>-0.34670000000000001</v>
      </c>
    </row>
    <row r="25" spans="1:4" x14ac:dyDescent="0.25">
      <c r="A25">
        <v>1</v>
      </c>
      <c r="B25" s="1">
        <v>22</v>
      </c>
      <c r="C25">
        <v>0.245</v>
      </c>
      <c r="D25">
        <f t="shared" si="0"/>
        <v>-0.3407</v>
      </c>
    </row>
    <row r="26" spans="1:4" x14ac:dyDescent="0.25">
      <c r="A26">
        <v>1</v>
      </c>
      <c r="B26" s="1">
        <v>63</v>
      </c>
      <c r="C26">
        <v>0.25800000000000001</v>
      </c>
      <c r="D26">
        <f t="shared" si="0"/>
        <v>-0.32769999999999999</v>
      </c>
    </row>
    <row r="27" spans="1:4" x14ac:dyDescent="0.25">
      <c r="A27">
        <v>1</v>
      </c>
      <c r="B27" s="1">
        <v>325</v>
      </c>
      <c r="C27">
        <v>0.28499999999999998</v>
      </c>
      <c r="D27">
        <f t="shared" si="0"/>
        <v>-0.30070000000000002</v>
      </c>
    </row>
    <row r="28" spans="1:4" x14ac:dyDescent="0.25">
      <c r="A28">
        <v>1</v>
      </c>
      <c r="B28" s="1">
        <v>21</v>
      </c>
      <c r="C28">
        <v>0.29899999999999999</v>
      </c>
      <c r="D28">
        <f t="shared" si="0"/>
        <v>-0.28670000000000001</v>
      </c>
    </row>
    <row r="29" spans="1:4" x14ac:dyDescent="0.25">
      <c r="A29">
        <v>1</v>
      </c>
      <c r="B29" s="1">
        <v>2</v>
      </c>
      <c r="C29">
        <v>0.32500000000000001</v>
      </c>
      <c r="D29">
        <f t="shared" si="0"/>
        <v>-0.26069999999999999</v>
      </c>
    </row>
    <row r="30" spans="1:4" x14ac:dyDescent="0.25">
      <c r="A30">
        <v>1</v>
      </c>
      <c r="B30" s="1">
        <v>128</v>
      </c>
      <c r="C30">
        <v>0.32500000000000001</v>
      </c>
      <c r="D30">
        <f t="shared" si="0"/>
        <v>-0.26069999999999999</v>
      </c>
    </row>
    <row r="31" spans="1:4" x14ac:dyDescent="0.25">
      <c r="A31">
        <v>1</v>
      </c>
      <c r="B31" s="1">
        <v>155</v>
      </c>
      <c r="C31">
        <v>0.33600000000000002</v>
      </c>
      <c r="D31">
        <f t="shared" si="0"/>
        <v>-0.24969999999999998</v>
      </c>
    </row>
    <row r="32" spans="1:4" x14ac:dyDescent="0.25">
      <c r="A32">
        <v>1</v>
      </c>
      <c r="B32" s="1">
        <v>271</v>
      </c>
      <c r="C32">
        <v>0.34499999999999997</v>
      </c>
      <c r="D32">
        <f t="shared" si="0"/>
        <v>-0.24070000000000003</v>
      </c>
    </row>
    <row r="33" spans="1:4" x14ac:dyDescent="0.25">
      <c r="A33">
        <v>1</v>
      </c>
      <c r="B33" s="1">
        <v>47</v>
      </c>
      <c r="C33">
        <v>0.39400000000000002</v>
      </c>
      <c r="D33">
        <f t="shared" si="0"/>
        <v>-0.19169999999999998</v>
      </c>
    </row>
    <row r="34" spans="1:4" x14ac:dyDescent="0.25">
      <c r="A34">
        <v>1</v>
      </c>
      <c r="B34" s="1">
        <v>73</v>
      </c>
      <c r="C34">
        <v>0.40300000000000002</v>
      </c>
      <c r="D34">
        <f t="shared" si="0"/>
        <v>-0.18269999999999997</v>
      </c>
    </row>
    <row r="35" spans="1:4" x14ac:dyDescent="0.25">
      <c r="A35">
        <v>1</v>
      </c>
      <c r="B35" s="1">
        <v>151</v>
      </c>
      <c r="C35">
        <v>0.41299999999999998</v>
      </c>
      <c r="D35">
        <f t="shared" si="0"/>
        <v>-0.17270000000000002</v>
      </c>
    </row>
    <row r="36" spans="1:4" x14ac:dyDescent="0.25">
      <c r="A36">
        <v>1</v>
      </c>
      <c r="B36" s="1">
        <v>95</v>
      </c>
      <c r="C36">
        <v>0.435</v>
      </c>
      <c r="D36">
        <f t="shared" si="0"/>
        <v>-0.1507</v>
      </c>
    </row>
    <row r="37" spans="1:4" x14ac:dyDescent="0.25">
      <c r="A37">
        <v>1</v>
      </c>
      <c r="B37" s="1">
        <v>44</v>
      </c>
      <c r="C37">
        <v>0.44600000000000001</v>
      </c>
      <c r="D37">
        <f t="shared" si="0"/>
        <v>-0.13969999999999999</v>
      </c>
    </row>
    <row r="38" spans="1:4" x14ac:dyDescent="0.25">
      <c r="A38">
        <v>1</v>
      </c>
      <c r="B38" s="1">
        <v>280</v>
      </c>
      <c r="C38">
        <v>0.47299999999999998</v>
      </c>
      <c r="D38">
        <f t="shared" si="0"/>
        <v>-0.11270000000000002</v>
      </c>
    </row>
    <row r="39" spans="1:4" x14ac:dyDescent="0.25">
      <c r="A39">
        <v>1</v>
      </c>
      <c r="B39" s="1">
        <v>250</v>
      </c>
      <c r="C39">
        <v>0.496</v>
      </c>
      <c r="D39">
        <f t="shared" si="0"/>
        <v>-8.9700000000000002E-2</v>
      </c>
    </row>
    <row r="40" spans="1:4" x14ac:dyDescent="0.25">
      <c r="A40">
        <v>1</v>
      </c>
      <c r="B40" s="1">
        <v>91</v>
      </c>
      <c r="C40">
        <v>0.498</v>
      </c>
      <c r="D40">
        <f t="shared" si="0"/>
        <v>-8.77E-2</v>
      </c>
    </row>
    <row r="41" spans="1:4" x14ac:dyDescent="0.25">
      <c r="A41">
        <v>1</v>
      </c>
      <c r="B41" s="1">
        <v>78</v>
      </c>
      <c r="C41">
        <v>0.51400000000000001</v>
      </c>
      <c r="D41">
        <f t="shared" si="0"/>
        <v>-7.1699999999999986E-2</v>
      </c>
    </row>
    <row r="42" spans="1:4" x14ac:dyDescent="0.25">
      <c r="A42">
        <v>1</v>
      </c>
      <c r="B42" s="1">
        <v>76</v>
      </c>
      <c r="C42">
        <v>0.56799999999999995</v>
      </c>
      <c r="D42">
        <f t="shared" si="0"/>
        <v>-1.7700000000000049E-2</v>
      </c>
    </row>
    <row r="43" spans="1:4" x14ac:dyDescent="0.25">
      <c r="A43">
        <v>1</v>
      </c>
      <c r="B43" s="1">
        <v>241</v>
      </c>
      <c r="C43">
        <v>0.58499999999999996</v>
      </c>
      <c r="D43">
        <f t="shared" si="0"/>
        <v>-7.0000000000003393E-4</v>
      </c>
    </row>
    <row r="44" spans="1:4" x14ac:dyDescent="0.25">
      <c r="A44">
        <v>1</v>
      </c>
      <c r="B44" s="1">
        <v>260</v>
      </c>
      <c r="C44">
        <v>0.58599999999999997</v>
      </c>
      <c r="D44">
        <f t="shared" si="0"/>
        <v>2.9999999999996696E-4</v>
      </c>
    </row>
    <row r="45" spans="1:4" x14ac:dyDescent="0.25">
      <c r="A45">
        <v>1</v>
      </c>
      <c r="B45" s="1">
        <v>105</v>
      </c>
      <c r="C45">
        <v>0.58599999999999997</v>
      </c>
      <c r="D45">
        <f t="shared" si="0"/>
        <v>2.9999999999996696E-4</v>
      </c>
    </row>
    <row r="46" spans="1:4" x14ac:dyDescent="0.25">
      <c r="A46">
        <v>1</v>
      </c>
      <c r="B46" s="1">
        <v>258</v>
      </c>
      <c r="C46">
        <v>0.59299999999999997</v>
      </c>
      <c r="D46">
        <f t="shared" si="0"/>
        <v>7.2999999999999732E-3</v>
      </c>
    </row>
    <row r="47" spans="1:4" x14ac:dyDescent="0.25">
      <c r="A47">
        <v>1</v>
      </c>
      <c r="B47" s="1">
        <v>75</v>
      </c>
      <c r="C47">
        <v>0.61299999999999999</v>
      </c>
      <c r="D47">
        <f t="shared" si="0"/>
        <v>2.7299999999999991E-2</v>
      </c>
    </row>
    <row r="48" spans="1:4" x14ac:dyDescent="0.25">
      <c r="A48">
        <v>1</v>
      </c>
      <c r="B48" s="1">
        <v>326</v>
      </c>
      <c r="C48">
        <v>0.625</v>
      </c>
      <c r="D48">
        <f t="shared" si="0"/>
        <v>3.9300000000000002E-2</v>
      </c>
    </row>
    <row r="49" spans="1:4" x14ac:dyDescent="0.25">
      <c r="A49">
        <v>1</v>
      </c>
      <c r="B49" s="1">
        <v>152</v>
      </c>
      <c r="C49">
        <v>0.63700000000000001</v>
      </c>
      <c r="D49">
        <f t="shared" si="0"/>
        <v>5.1300000000000012E-2</v>
      </c>
    </row>
    <row r="50" spans="1:4" x14ac:dyDescent="0.25">
      <c r="A50">
        <v>1</v>
      </c>
      <c r="B50" s="1">
        <v>281</v>
      </c>
      <c r="C50">
        <v>0.64200000000000002</v>
      </c>
      <c r="D50">
        <f t="shared" si="0"/>
        <v>5.6300000000000017E-2</v>
      </c>
    </row>
    <row r="51" spans="1:4" x14ac:dyDescent="0.25">
      <c r="A51">
        <v>1</v>
      </c>
      <c r="B51" s="1">
        <v>23</v>
      </c>
      <c r="C51">
        <v>0.64500000000000002</v>
      </c>
      <c r="D51">
        <f t="shared" si="0"/>
        <v>5.9300000000000019E-2</v>
      </c>
    </row>
    <row r="52" spans="1:4" x14ac:dyDescent="0.25">
      <c r="A52">
        <v>1</v>
      </c>
      <c r="B52" s="1">
        <v>232</v>
      </c>
      <c r="C52">
        <v>0.65100000000000002</v>
      </c>
      <c r="D52">
        <f t="shared" si="0"/>
        <v>6.5300000000000025E-2</v>
      </c>
    </row>
    <row r="53" spans="1:4" x14ac:dyDescent="0.25">
      <c r="A53">
        <v>1</v>
      </c>
      <c r="B53" s="1">
        <v>97</v>
      </c>
      <c r="C53">
        <v>0.66800000000000004</v>
      </c>
      <c r="D53">
        <f t="shared" si="0"/>
        <v>8.230000000000004E-2</v>
      </c>
    </row>
    <row r="54" spans="1:4" x14ac:dyDescent="0.25">
      <c r="A54">
        <v>1</v>
      </c>
      <c r="B54" s="1">
        <v>291</v>
      </c>
      <c r="C54">
        <v>0.68400000000000005</v>
      </c>
      <c r="D54">
        <f t="shared" si="0"/>
        <v>9.8300000000000054E-2</v>
      </c>
    </row>
    <row r="55" spans="1:4" x14ac:dyDescent="0.25">
      <c r="A55">
        <v>1</v>
      </c>
      <c r="B55" s="1">
        <v>62</v>
      </c>
      <c r="C55">
        <v>0.69499999999999995</v>
      </c>
      <c r="D55">
        <f t="shared" si="0"/>
        <v>0.10929999999999995</v>
      </c>
    </row>
    <row r="56" spans="1:4" x14ac:dyDescent="0.25">
      <c r="A56">
        <v>1</v>
      </c>
      <c r="B56" s="1">
        <v>251</v>
      </c>
      <c r="C56">
        <v>0.72599999999999998</v>
      </c>
      <c r="D56">
        <f t="shared" si="0"/>
        <v>0.14029999999999998</v>
      </c>
    </row>
    <row r="57" spans="1:4" x14ac:dyDescent="0.25">
      <c r="A57">
        <v>1</v>
      </c>
      <c r="B57" s="10">
        <v>285</v>
      </c>
      <c r="C57">
        <v>0.73199999999999998</v>
      </c>
      <c r="D57">
        <f t="shared" si="0"/>
        <v>0.14629999999999999</v>
      </c>
    </row>
    <row r="58" spans="1:4" x14ac:dyDescent="0.25">
      <c r="A58">
        <v>1</v>
      </c>
      <c r="B58" s="10">
        <v>146</v>
      </c>
      <c r="C58">
        <v>0.752</v>
      </c>
      <c r="D58">
        <f t="shared" si="0"/>
        <v>0.1663</v>
      </c>
    </row>
    <row r="59" spans="1:4" x14ac:dyDescent="0.25">
      <c r="A59">
        <v>1</v>
      </c>
      <c r="B59" s="10">
        <v>132</v>
      </c>
      <c r="C59">
        <v>0.83599999999999997</v>
      </c>
      <c r="D59">
        <f t="shared" si="0"/>
        <v>0.25029999999999997</v>
      </c>
    </row>
    <row r="60" spans="1:4" x14ac:dyDescent="0.25">
      <c r="A60">
        <v>1</v>
      </c>
      <c r="B60" s="10">
        <v>72</v>
      </c>
      <c r="C60">
        <v>0.84199999999999997</v>
      </c>
      <c r="D60">
        <f t="shared" si="0"/>
        <v>0.25629999999999997</v>
      </c>
    </row>
    <row r="61" spans="1:4" x14ac:dyDescent="0.25">
      <c r="A61">
        <v>1</v>
      </c>
      <c r="B61" s="10">
        <v>222</v>
      </c>
      <c r="C61">
        <v>0.86899999999999999</v>
      </c>
      <c r="D61">
        <f t="shared" si="0"/>
        <v>0.2833</v>
      </c>
    </row>
    <row r="62" spans="1:4" x14ac:dyDescent="0.25">
      <c r="A62">
        <v>1</v>
      </c>
      <c r="B62" s="10">
        <v>131</v>
      </c>
      <c r="C62">
        <v>0.874</v>
      </c>
      <c r="D62">
        <f t="shared" si="0"/>
        <v>0.2883</v>
      </c>
    </row>
    <row r="63" spans="1:4" x14ac:dyDescent="0.25">
      <c r="A63">
        <v>1</v>
      </c>
      <c r="B63" s="10">
        <v>30</v>
      </c>
      <c r="C63">
        <v>0.88600000000000001</v>
      </c>
      <c r="D63">
        <f t="shared" si="0"/>
        <v>0.30030000000000001</v>
      </c>
    </row>
    <row r="64" spans="1:4" x14ac:dyDescent="0.25">
      <c r="A64">
        <v>1</v>
      </c>
      <c r="B64" s="10">
        <v>116</v>
      </c>
      <c r="C64">
        <v>0.92400000000000004</v>
      </c>
      <c r="D64">
        <f t="shared" si="0"/>
        <v>0.33830000000000005</v>
      </c>
    </row>
    <row r="65" spans="1:4" x14ac:dyDescent="0.25">
      <c r="A65">
        <v>1</v>
      </c>
      <c r="B65" s="10">
        <v>324</v>
      </c>
      <c r="C65">
        <v>0.93799999999999994</v>
      </c>
      <c r="D65">
        <f t="shared" si="0"/>
        <v>0.35229999999999995</v>
      </c>
    </row>
    <row r="66" spans="1:4" x14ac:dyDescent="0.25">
      <c r="A66">
        <v>1</v>
      </c>
      <c r="B66" s="10">
        <v>33</v>
      </c>
      <c r="C66">
        <v>0.98899999999999999</v>
      </c>
      <c r="D66">
        <f t="shared" si="0"/>
        <v>0.40329999999999999</v>
      </c>
    </row>
    <row r="67" spans="1:4" x14ac:dyDescent="0.25">
      <c r="A67">
        <v>1</v>
      </c>
      <c r="B67" s="10">
        <v>65</v>
      </c>
      <c r="C67">
        <v>1.0089999999999999</v>
      </c>
      <c r="D67">
        <f t="shared" ref="D67:D75" si="1">C67-0.5857</f>
        <v>0.4232999999999999</v>
      </c>
    </row>
    <row r="68" spans="1:4" x14ac:dyDescent="0.25">
      <c r="A68">
        <v>1</v>
      </c>
      <c r="B68" s="10">
        <v>98</v>
      </c>
      <c r="C68">
        <v>1.0529999999999999</v>
      </c>
      <c r="D68">
        <f t="shared" si="1"/>
        <v>0.46729999999999994</v>
      </c>
    </row>
    <row r="69" spans="1:4" x14ac:dyDescent="0.25">
      <c r="A69">
        <v>1</v>
      </c>
      <c r="B69" s="10">
        <v>284</v>
      </c>
      <c r="C69">
        <v>1.536</v>
      </c>
      <c r="D69">
        <f t="shared" si="1"/>
        <v>0.95030000000000003</v>
      </c>
    </row>
    <row r="70" spans="1:4" x14ac:dyDescent="0.25">
      <c r="A70">
        <v>1</v>
      </c>
      <c r="B70" s="10">
        <v>261</v>
      </c>
      <c r="C70">
        <v>1.7310000000000001</v>
      </c>
      <c r="D70">
        <f t="shared" si="1"/>
        <v>1.1453000000000002</v>
      </c>
    </row>
    <row r="71" spans="1:4" x14ac:dyDescent="0.25">
      <c r="A71">
        <v>1</v>
      </c>
      <c r="B71" s="10">
        <v>70</v>
      </c>
      <c r="C71">
        <v>1.746</v>
      </c>
      <c r="D71">
        <f t="shared" si="1"/>
        <v>1.1602999999999999</v>
      </c>
    </row>
    <row r="72" spans="1:4" x14ac:dyDescent="0.25">
      <c r="A72">
        <v>1</v>
      </c>
      <c r="B72" s="10">
        <v>122</v>
      </c>
      <c r="C72">
        <v>1.7709999999999999</v>
      </c>
      <c r="D72">
        <f t="shared" si="1"/>
        <v>1.1852999999999998</v>
      </c>
    </row>
    <row r="73" spans="1:4" x14ac:dyDescent="0.25">
      <c r="A73">
        <v>1</v>
      </c>
      <c r="B73" s="10">
        <v>223</v>
      </c>
      <c r="C73">
        <v>1.8380000000000001</v>
      </c>
      <c r="D73">
        <f t="shared" si="1"/>
        <v>1.2523</v>
      </c>
    </row>
    <row r="74" spans="1:4" x14ac:dyDescent="0.25">
      <c r="A74">
        <v>1</v>
      </c>
      <c r="B74" s="10">
        <v>259</v>
      </c>
      <c r="C74">
        <v>1.875</v>
      </c>
      <c r="D74">
        <f t="shared" si="1"/>
        <v>1.2892999999999999</v>
      </c>
    </row>
    <row r="75" spans="1:4" x14ac:dyDescent="0.25">
      <c r="A75">
        <v>1</v>
      </c>
      <c r="B75" s="10">
        <v>145</v>
      </c>
      <c r="C75">
        <v>3.383</v>
      </c>
      <c r="D75">
        <f t="shared" si="1"/>
        <v>2.7972999999999999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workbookViewId="0"/>
  </sheetViews>
  <sheetFormatPr defaultColWidth="10.75" defaultRowHeight="15.75" x14ac:dyDescent="0.25"/>
  <cols>
    <col min="6" max="6" width="19.375" customWidth="1"/>
  </cols>
  <sheetData>
    <row r="1" spans="1:6" x14ac:dyDescent="0.25">
      <c r="A1" s="7" t="s">
        <v>0</v>
      </c>
      <c r="B1" s="7" t="s">
        <v>14</v>
      </c>
      <c r="C1" s="7" t="s">
        <v>13</v>
      </c>
      <c r="D1" s="7" t="s">
        <v>10</v>
      </c>
      <c r="F1" s="7" t="s">
        <v>9</v>
      </c>
    </row>
    <row r="2" spans="1:6" x14ac:dyDescent="0.25">
      <c r="A2">
        <v>2</v>
      </c>
      <c r="B2" s="10">
        <v>96</v>
      </c>
      <c r="C2">
        <v>3.0000000000000001E-3</v>
      </c>
      <c r="D2">
        <f>C2-0.687842105</f>
        <v>-0.68484210499999998</v>
      </c>
      <c r="F2">
        <f>AVERAGE(C:C)</f>
        <v>0.68784210526315781</v>
      </c>
    </row>
    <row r="3" spans="1:6" x14ac:dyDescent="0.25">
      <c r="A3">
        <v>2</v>
      </c>
      <c r="B3" s="10">
        <v>263</v>
      </c>
      <c r="C3">
        <v>0.01</v>
      </c>
      <c r="D3">
        <f t="shared" ref="D3:D58" si="0">C3-0.687842105</f>
        <v>-0.67784210499999997</v>
      </c>
    </row>
    <row r="4" spans="1:6" x14ac:dyDescent="0.25">
      <c r="A4">
        <v>2</v>
      </c>
      <c r="B4" s="10">
        <v>267</v>
      </c>
      <c r="C4">
        <v>2.1999999999999999E-2</v>
      </c>
      <c r="D4">
        <f t="shared" si="0"/>
        <v>-0.66584210499999996</v>
      </c>
      <c r="F4" s="11" t="s">
        <v>15</v>
      </c>
    </row>
    <row r="5" spans="1:6" x14ac:dyDescent="0.25">
      <c r="A5">
        <v>2</v>
      </c>
      <c r="B5" s="10">
        <v>304</v>
      </c>
      <c r="C5">
        <v>2.3E-2</v>
      </c>
      <c r="D5">
        <f t="shared" si="0"/>
        <v>-0.66484210499999996</v>
      </c>
    </row>
    <row r="6" spans="1:6" x14ac:dyDescent="0.25">
      <c r="A6">
        <v>2</v>
      </c>
      <c r="B6" s="10">
        <v>110</v>
      </c>
      <c r="C6">
        <v>4.4999999999999998E-2</v>
      </c>
      <c r="D6">
        <f t="shared" si="0"/>
        <v>-0.64284210499999994</v>
      </c>
    </row>
    <row r="7" spans="1:6" x14ac:dyDescent="0.25">
      <c r="A7">
        <v>2</v>
      </c>
      <c r="B7" s="10">
        <v>17</v>
      </c>
      <c r="C7">
        <v>5.0999999999999997E-2</v>
      </c>
      <c r="D7">
        <f t="shared" si="0"/>
        <v>-0.63684210499999994</v>
      </c>
    </row>
    <row r="8" spans="1:6" x14ac:dyDescent="0.25">
      <c r="A8">
        <v>2</v>
      </c>
      <c r="B8" s="10">
        <v>282</v>
      </c>
      <c r="C8">
        <v>5.2999999999999999E-2</v>
      </c>
      <c r="D8">
        <f t="shared" si="0"/>
        <v>-0.63484210499999993</v>
      </c>
    </row>
    <row r="9" spans="1:6" x14ac:dyDescent="0.25">
      <c r="A9">
        <v>2</v>
      </c>
      <c r="B9" s="10">
        <v>101</v>
      </c>
      <c r="C9">
        <v>5.7000000000000002E-2</v>
      </c>
      <c r="D9">
        <f t="shared" si="0"/>
        <v>-0.63084210499999993</v>
      </c>
    </row>
    <row r="10" spans="1:6" x14ac:dyDescent="0.25">
      <c r="A10">
        <v>2</v>
      </c>
      <c r="B10" s="10">
        <v>329</v>
      </c>
      <c r="C10">
        <v>7.5999999999999998E-2</v>
      </c>
      <c r="D10">
        <f t="shared" si="0"/>
        <v>-0.61184210500000002</v>
      </c>
    </row>
    <row r="11" spans="1:6" x14ac:dyDescent="0.25">
      <c r="A11">
        <v>2</v>
      </c>
      <c r="B11" s="10">
        <v>58</v>
      </c>
      <c r="C11">
        <v>9.2999999999999999E-2</v>
      </c>
      <c r="D11">
        <f t="shared" si="0"/>
        <v>-0.59484210500000001</v>
      </c>
    </row>
    <row r="12" spans="1:6" x14ac:dyDescent="0.25">
      <c r="A12">
        <v>2</v>
      </c>
      <c r="B12" s="10">
        <v>170</v>
      </c>
      <c r="C12">
        <v>9.6000000000000002E-2</v>
      </c>
      <c r="D12">
        <f t="shared" si="0"/>
        <v>-0.59184210500000001</v>
      </c>
    </row>
    <row r="13" spans="1:6" x14ac:dyDescent="0.25">
      <c r="A13">
        <v>2</v>
      </c>
      <c r="B13" s="10">
        <v>53</v>
      </c>
      <c r="C13">
        <v>9.8000000000000004E-2</v>
      </c>
      <c r="D13">
        <f t="shared" si="0"/>
        <v>-0.58984210500000001</v>
      </c>
    </row>
    <row r="14" spans="1:6" x14ac:dyDescent="0.25">
      <c r="A14">
        <v>2</v>
      </c>
      <c r="B14" s="10">
        <v>57</v>
      </c>
      <c r="C14">
        <v>9.9000000000000005E-2</v>
      </c>
      <c r="D14">
        <f t="shared" si="0"/>
        <v>-0.588842105</v>
      </c>
    </row>
    <row r="15" spans="1:6" x14ac:dyDescent="0.25">
      <c r="A15">
        <v>2</v>
      </c>
      <c r="B15" s="10">
        <v>100</v>
      </c>
      <c r="C15">
        <v>0.11700000000000001</v>
      </c>
      <c r="D15">
        <f t="shared" si="0"/>
        <v>-0.57084210499999999</v>
      </c>
    </row>
    <row r="16" spans="1:6" x14ac:dyDescent="0.25">
      <c r="A16">
        <v>2</v>
      </c>
      <c r="B16" s="1">
        <v>85</v>
      </c>
      <c r="C16">
        <v>0.20200000000000001</v>
      </c>
      <c r="D16">
        <f t="shared" si="0"/>
        <v>-0.48584210499999997</v>
      </c>
    </row>
    <row r="17" spans="1:4" x14ac:dyDescent="0.25">
      <c r="A17">
        <v>2</v>
      </c>
      <c r="B17" s="1">
        <v>305</v>
      </c>
      <c r="C17">
        <v>0.216</v>
      </c>
      <c r="D17">
        <f t="shared" si="0"/>
        <v>-0.47184210500000001</v>
      </c>
    </row>
    <row r="18" spans="1:4" x14ac:dyDescent="0.25">
      <c r="A18">
        <v>2</v>
      </c>
      <c r="B18" s="1">
        <v>236</v>
      </c>
      <c r="C18">
        <v>0.23400000000000001</v>
      </c>
      <c r="D18">
        <f t="shared" si="0"/>
        <v>-0.453842105</v>
      </c>
    </row>
    <row r="19" spans="1:4" x14ac:dyDescent="0.25">
      <c r="A19">
        <v>2</v>
      </c>
      <c r="B19" s="1">
        <v>315</v>
      </c>
      <c r="C19">
        <v>0.24199999999999999</v>
      </c>
      <c r="D19">
        <f t="shared" si="0"/>
        <v>-0.44584210499999999</v>
      </c>
    </row>
    <row r="20" spans="1:4" x14ac:dyDescent="0.25">
      <c r="A20">
        <v>2</v>
      </c>
      <c r="B20" s="1">
        <v>124</v>
      </c>
      <c r="C20">
        <v>0.248</v>
      </c>
      <c r="D20">
        <f t="shared" si="0"/>
        <v>-0.43984210499999998</v>
      </c>
    </row>
    <row r="21" spans="1:4" x14ac:dyDescent="0.25">
      <c r="A21">
        <v>2</v>
      </c>
      <c r="B21" s="1">
        <v>25</v>
      </c>
      <c r="C21">
        <v>0.255</v>
      </c>
      <c r="D21">
        <f t="shared" si="0"/>
        <v>-0.43284210499999998</v>
      </c>
    </row>
    <row r="22" spans="1:4" x14ac:dyDescent="0.25">
      <c r="A22">
        <v>2</v>
      </c>
      <c r="B22" s="1">
        <v>31</v>
      </c>
      <c r="C22">
        <v>0.26800000000000002</v>
      </c>
      <c r="D22">
        <f t="shared" si="0"/>
        <v>-0.41984210499999997</v>
      </c>
    </row>
    <row r="23" spans="1:4" x14ac:dyDescent="0.25">
      <c r="A23">
        <v>2</v>
      </c>
      <c r="B23" s="1">
        <v>230</v>
      </c>
      <c r="C23">
        <v>0.33</v>
      </c>
      <c r="D23">
        <f t="shared" si="0"/>
        <v>-0.35784210499999997</v>
      </c>
    </row>
    <row r="24" spans="1:4" x14ac:dyDescent="0.25">
      <c r="A24">
        <v>2</v>
      </c>
      <c r="B24" s="1">
        <v>93</v>
      </c>
      <c r="C24">
        <v>0.36199999999999999</v>
      </c>
      <c r="D24">
        <f t="shared" si="0"/>
        <v>-0.32584210499999999</v>
      </c>
    </row>
    <row r="25" spans="1:4" x14ac:dyDescent="0.25">
      <c r="A25">
        <v>2</v>
      </c>
      <c r="B25" s="1">
        <v>228</v>
      </c>
      <c r="C25">
        <v>0.39500000000000002</v>
      </c>
      <c r="D25">
        <f t="shared" si="0"/>
        <v>-0.29284210499999996</v>
      </c>
    </row>
    <row r="26" spans="1:4" x14ac:dyDescent="0.25">
      <c r="A26">
        <v>2</v>
      </c>
      <c r="B26" s="1">
        <v>39</v>
      </c>
      <c r="C26">
        <v>0.46300000000000002</v>
      </c>
      <c r="D26">
        <f t="shared" si="0"/>
        <v>-0.22484210499999996</v>
      </c>
    </row>
    <row r="27" spans="1:4" x14ac:dyDescent="0.25">
      <c r="A27">
        <v>2</v>
      </c>
      <c r="B27" s="1">
        <v>164</v>
      </c>
      <c r="C27">
        <v>0.47499999999999998</v>
      </c>
      <c r="D27">
        <f t="shared" si="0"/>
        <v>-0.212842105</v>
      </c>
    </row>
    <row r="28" spans="1:4" x14ac:dyDescent="0.25">
      <c r="A28">
        <v>2</v>
      </c>
      <c r="B28" s="1">
        <v>299</v>
      </c>
      <c r="C28">
        <v>0.47699999999999998</v>
      </c>
      <c r="D28">
        <f t="shared" si="0"/>
        <v>-0.210842105</v>
      </c>
    </row>
    <row r="29" spans="1:4" x14ac:dyDescent="0.25">
      <c r="A29">
        <v>2</v>
      </c>
      <c r="B29" s="1">
        <v>51</v>
      </c>
      <c r="C29">
        <v>0.5</v>
      </c>
      <c r="D29">
        <f t="shared" si="0"/>
        <v>-0.18784210499999998</v>
      </c>
    </row>
    <row r="30" spans="1:4" x14ac:dyDescent="0.25">
      <c r="A30">
        <v>2</v>
      </c>
      <c r="B30" s="1">
        <v>77</v>
      </c>
      <c r="C30">
        <v>0.51800000000000002</v>
      </c>
      <c r="D30">
        <f t="shared" si="0"/>
        <v>-0.16984210499999997</v>
      </c>
    </row>
    <row r="31" spans="1:4" x14ac:dyDescent="0.25">
      <c r="A31">
        <v>2</v>
      </c>
      <c r="B31" s="1">
        <v>90</v>
      </c>
      <c r="C31">
        <v>0.53200000000000003</v>
      </c>
      <c r="D31">
        <f t="shared" si="0"/>
        <v>-0.15584210499999995</v>
      </c>
    </row>
    <row r="32" spans="1:4" x14ac:dyDescent="0.25">
      <c r="A32">
        <v>2</v>
      </c>
      <c r="B32" s="1">
        <v>41</v>
      </c>
      <c r="C32">
        <v>0.66500000000000004</v>
      </c>
      <c r="D32">
        <f t="shared" si="0"/>
        <v>-2.2842104999999946E-2</v>
      </c>
    </row>
    <row r="33" spans="1:4" x14ac:dyDescent="0.25">
      <c r="A33">
        <v>2</v>
      </c>
      <c r="B33" s="1">
        <v>87</v>
      </c>
      <c r="C33">
        <v>0.69899999999999995</v>
      </c>
      <c r="D33">
        <f t="shared" si="0"/>
        <v>1.1157894999999973E-2</v>
      </c>
    </row>
    <row r="34" spans="1:4" x14ac:dyDescent="0.25">
      <c r="A34">
        <v>2</v>
      </c>
      <c r="B34" s="1">
        <v>318</v>
      </c>
      <c r="C34">
        <v>0.70299999999999996</v>
      </c>
      <c r="D34">
        <f t="shared" si="0"/>
        <v>1.5157894999999977E-2</v>
      </c>
    </row>
    <row r="35" spans="1:4" x14ac:dyDescent="0.25">
      <c r="A35">
        <v>2</v>
      </c>
      <c r="B35" s="1">
        <v>208</v>
      </c>
      <c r="C35">
        <v>0.78200000000000003</v>
      </c>
      <c r="D35">
        <f t="shared" si="0"/>
        <v>9.4157895000000047E-2</v>
      </c>
    </row>
    <row r="36" spans="1:4" x14ac:dyDescent="0.25">
      <c r="A36">
        <v>2</v>
      </c>
      <c r="B36" s="1">
        <v>106</v>
      </c>
      <c r="C36">
        <v>0.80900000000000005</v>
      </c>
      <c r="D36">
        <f t="shared" si="0"/>
        <v>0.12115789500000007</v>
      </c>
    </row>
    <row r="37" spans="1:4" x14ac:dyDescent="0.25">
      <c r="A37">
        <v>2</v>
      </c>
      <c r="B37" s="1">
        <v>60</v>
      </c>
      <c r="C37">
        <v>0.87</v>
      </c>
      <c r="D37">
        <f t="shared" si="0"/>
        <v>0.18215789500000001</v>
      </c>
    </row>
    <row r="38" spans="1:4" x14ac:dyDescent="0.25">
      <c r="A38">
        <v>2</v>
      </c>
      <c r="B38" s="1">
        <v>327</v>
      </c>
      <c r="C38">
        <v>0.91700000000000004</v>
      </c>
      <c r="D38">
        <f t="shared" si="0"/>
        <v>0.22915789500000006</v>
      </c>
    </row>
    <row r="39" spans="1:4" x14ac:dyDescent="0.25">
      <c r="A39">
        <v>2</v>
      </c>
      <c r="B39" s="1">
        <v>1</v>
      </c>
      <c r="C39">
        <v>0.93100000000000005</v>
      </c>
      <c r="D39">
        <f t="shared" si="0"/>
        <v>0.24315789500000007</v>
      </c>
    </row>
    <row r="40" spans="1:4" x14ac:dyDescent="0.25">
      <c r="A40">
        <v>2</v>
      </c>
      <c r="B40" s="1">
        <v>82</v>
      </c>
      <c r="C40">
        <v>0.93400000000000005</v>
      </c>
      <c r="D40">
        <f t="shared" si="0"/>
        <v>0.24615789500000007</v>
      </c>
    </row>
    <row r="41" spans="1:4" x14ac:dyDescent="0.25">
      <c r="A41">
        <v>2</v>
      </c>
      <c r="B41" s="1">
        <v>313</v>
      </c>
      <c r="C41">
        <v>0.96</v>
      </c>
      <c r="D41">
        <f t="shared" si="0"/>
        <v>0.27215789499999998</v>
      </c>
    </row>
    <row r="42" spans="1:4" x14ac:dyDescent="0.25">
      <c r="A42">
        <v>2</v>
      </c>
      <c r="B42" s="1">
        <v>48</v>
      </c>
      <c r="C42">
        <v>0.97</v>
      </c>
      <c r="D42">
        <f t="shared" si="0"/>
        <v>0.28215789499999999</v>
      </c>
    </row>
    <row r="43" spans="1:4" x14ac:dyDescent="0.25">
      <c r="A43">
        <v>2</v>
      </c>
      <c r="B43" s="1">
        <v>81</v>
      </c>
      <c r="C43">
        <v>0.97499999999999998</v>
      </c>
      <c r="D43">
        <f t="shared" si="0"/>
        <v>0.287157895</v>
      </c>
    </row>
    <row r="44" spans="1:4" x14ac:dyDescent="0.25">
      <c r="A44">
        <v>2</v>
      </c>
      <c r="B44" s="1">
        <v>235</v>
      </c>
      <c r="C44">
        <v>1.101</v>
      </c>
      <c r="D44">
        <f t="shared" si="0"/>
        <v>0.413157895</v>
      </c>
    </row>
    <row r="45" spans="1:4" x14ac:dyDescent="0.25">
      <c r="A45">
        <v>2</v>
      </c>
      <c r="B45" s="10">
        <v>289</v>
      </c>
      <c r="C45">
        <v>1.1439999999999999</v>
      </c>
      <c r="D45">
        <f t="shared" si="0"/>
        <v>0.45615789499999992</v>
      </c>
    </row>
    <row r="46" spans="1:4" x14ac:dyDescent="0.25">
      <c r="A46">
        <v>2</v>
      </c>
      <c r="B46" s="10">
        <v>83</v>
      </c>
      <c r="C46">
        <v>1.1459999999999999</v>
      </c>
      <c r="D46">
        <f t="shared" si="0"/>
        <v>0.45815789499999993</v>
      </c>
    </row>
    <row r="47" spans="1:4" x14ac:dyDescent="0.25">
      <c r="A47">
        <v>2</v>
      </c>
      <c r="B47" s="10">
        <v>166</v>
      </c>
      <c r="C47">
        <v>1.2509999999999999</v>
      </c>
      <c r="D47">
        <f t="shared" si="0"/>
        <v>0.56315789499999991</v>
      </c>
    </row>
    <row r="48" spans="1:4" x14ac:dyDescent="0.25">
      <c r="A48">
        <v>2</v>
      </c>
      <c r="B48" s="10">
        <v>84</v>
      </c>
      <c r="C48">
        <v>1.262</v>
      </c>
      <c r="D48">
        <f t="shared" si="0"/>
        <v>0.57415789500000003</v>
      </c>
    </row>
    <row r="49" spans="1:4" x14ac:dyDescent="0.25">
      <c r="A49">
        <v>2</v>
      </c>
      <c r="B49" s="10">
        <v>61</v>
      </c>
      <c r="C49">
        <v>1.2889999999999999</v>
      </c>
      <c r="D49">
        <f t="shared" si="0"/>
        <v>0.60115789499999994</v>
      </c>
    </row>
    <row r="50" spans="1:4" x14ac:dyDescent="0.25">
      <c r="A50">
        <v>2</v>
      </c>
      <c r="B50" s="10">
        <v>71</v>
      </c>
      <c r="C50">
        <v>1.292</v>
      </c>
      <c r="D50">
        <f t="shared" si="0"/>
        <v>0.60415789500000006</v>
      </c>
    </row>
    <row r="51" spans="1:4" x14ac:dyDescent="0.25">
      <c r="A51">
        <v>2</v>
      </c>
      <c r="B51" s="10">
        <v>86</v>
      </c>
      <c r="C51">
        <v>1.4039999999999999</v>
      </c>
      <c r="D51">
        <f t="shared" si="0"/>
        <v>0.71615789499999993</v>
      </c>
    </row>
    <row r="52" spans="1:4" x14ac:dyDescent="0.25">
      <c r="A52">
        <v>2</v>
      </c>
      <c r="B52" s="10">
        <v>50</v>
      </c>
      <c r="C52">
        <v>1.4970000000000001</v>
      </c>
      <c r="D52">
        <f t="shared" si="0"/>
        <v>0.80915789500000013</v>
      </c>
    </row>
    <row r="53" spans="1:4" x14ac:dyDescent="0.25">
      <c r="A53">
        <v>2</v>
      </c>
      <c r="B53" s="10">
        <v>229</v>
      </c>
      <c r="C53">
        <v>1.623</v>
      </c>
      <c r="D53">
        <f t="shared" si="0"/>
        <v>0.93515789500000002</v>
      </c>
    </row>
    <row r="54" spans="1:4" x14ac:dyDescent="0.25">
      <c r="A54">
        <v>2</v>
      </c>
      <c r="B54" s="10">
        <v>43</v>
      </c>
      <c r="C54">
        <v>1.681</v>
      </c>
      <c r="D54">
        <f t="shared" si="0"/>
        <v>0.99315789500000007</v>
      </c>
    </row>
    <row r="55" spans="1:4" x14ac:dyDescent="0.25">
      <c r="A55">
        <v>2</v>
      </c>
      <c r="B55" s="10">
        <v>309</v>
      </c>
      <c r="C55">
        <v>1.8129999999999999</v>
      </c>
      <c r="D55">
        <f t="shared" si="0"/>
        <v>1.1251578950000001</v>
      </c>
    </row>
    <row r="56" spans="1:4" x14ac:dyDescent="0.25">
      <c r="A56">
        <v>2</v>
      </c>
      <c r="B56" s="10">
        <v>5</v>
      </c>
      <c r="C56">
        <v>1.87</v>
      </c>
      <c r="D56">
        <f t="shared" si="0"/>
        <v>1.182157895</v>
      </c>
    </row>
    <row r="57" spans="1:4" x14ac:dyDescent="0.25">
      <c r="A57">
        <v>2</v>
      </c>
      <c r="B57" s="10">
        <v>221</v>
      </c>
      <c r="C57">
        <v>1.958</v>
      </c>
      <c r="D57">
        <f t="shared" si="0"/>
        <v>1.2701578950000001</v>
      </c>
    </row>
    <row r="58" spans="1:4" x14ac:dyDescent="0.25">
      <c r="A58">
        <v>2</v>
      </c>
      <c r="B58" s="10">
        <v>99</v>
      </c>
      <c r="C58">
        <v>2.101</v>
      </c>
      <c r="D58">
        <f t="shared" si="0"/>
        <v>1.4131578949999999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/>
  </sheetViews>
  <sheetFormatPr defaultColWidth="10.75" defaultRowHeight="15.75" x14ac:dyDescent="0.25"/>
  <cols>
    <col min="6" max="6" width="19.875" customWidth="1"/>
  </cols>
  <sheetData>
    <row r="1" spans="1:6" x14ac:dyDescent="0.25">
      <c r="A1" s="7" t="s">
        <v>0</v>
      </c>
      <c r="B1" s="7" t="s">
        <v>14</v>
      </c>
      <c r="C1" s="7" t="s">
        <v>13</v>
      </c>
      <c r="D1" s="7" t="s">
        <v>10</v>
      </c>
      <c r="F1" s="7" t="s">
        <v>9</v>
      </c>
    </row>
    <row r="2" spans="1:6" x14ac:dyDescent="0.25">
      <c r="A2">
        <v>3</v>
      </c>
      <c r="B2" s="10">
        <v>117</v>
      </c>
      <c r="C2">
        <v>1E-3</v>
      </c>
      <c r="D2">
        <f>C2-0.6181</f>
        <v>-0.61709999999999998</v>
      </c>
      <c r="F2">
        <f>AVERAGE(C:C)</f>
        <v>0.61809999999999998</v>
      </c>
    </row>
    <row r="3" spans="1:6" x14ac:dyDescent="0.25">
      <c r="A3">
        <v>3</v>
      </c>
      <c r="B3" s="10">
        <v>159</v>
      </c>
      <c r="C3">
        <v>2.5000000000000001E-2</v>
      </c>
      <c r="D3">
        <f t="shared" ref="D3:D51" si="0">C3-0.6181</f>
        <v>-0.59309999999999996</v>
      </c>
    </row>
    <row r="4" spans="1:6" x14ac:dyDescent="0.25">
      <c r="A4">
        <v>3</v>
      </c>
      <c r="B4" s="10">
        <v>297</v>
      </c>
      <c r="C4">
        <v>3.4000000000000002E-2</v>
      </c>
      <c r="D4">
        <f t="shared" si="0"/>
        <v>-0.58409999999999995</v>
      </c>
      <c r="F4" s="11" t="s">
        <v>15</v>
      </c>
    </row>
    <row r="5" spans="1:6" x14ac:dyDescent="0.25">
      <c r="A5">
        <v>3</v>
      </c>
      <c r="B5" s="10">
        <v>157</v>
      </c>
      <c r="C5">
        <v>4.1000000000000002E-2</v>
      </c>
      <c r="D5">
        <f t="shared" si="0"/>
        <v>-0.57709999999999995</v>
      </c>
    </row>
    <row r="6" spans="1:6" x14ac:dyDescent="0.25">
      <c r="A6">
        <v>3</v>
      </c>
      <c r="B6" s="10">
        <v>135</v>
      </c>
      <c r="C6">
        <v>5.0999999999999997E-2</v>
      </c>
      <c r="D6">
        <f t="shared" si="0"/>
        <v>-0.56709999999999994</v>
      </c>
    </row>
    <row r="7" spans="1:6" x14ac:dyDescent="0.25">
      <c r="A7">
        <v>3</v>
      </c>
      <c r="B7" s="10">
        <v>163</v>
      </c>
      <c r="C7">
        <v>5.3999999999999999E-2</v>
      </c>
      <c r="D7">
        <f t="shared" si="0"/>
        <v>-0.56409999999999993</v>
      </c>
    </row>
    <row r="8" spans="1:6" x14ac:dyDescent="0.25">
      <c r="A8">
        <v>3</v>
      </c>
      <c r="B8" s="10">
        <v>160</v>
      </c>
      <c r="C8">
        <v>5.7000000000000002E-2</v>
      </c>
      <c r="D8">
        <f t="shared" si="0"/>
        <v>-0.56109999999999993</v>
      </c>
    </row>
    <row r="9" spans="1:6" x14ac:dyDescent="0.25">
      <c r="A9">
        <v>3</v>
      </c>
      <c r="B9" s="10">
        <v>174</v>
      </c>
      <c r="C9">
        <v>6.3E-2</v>
      </c>
      <c r="D9">
        <f t="shared" si="0"/>
        <v>-0.55509999999999993</v>
      </c>
    </row>
    <row r="10" spans="1:6" x14ac:dyDescent="0.25">
      <c r="A10">
        <v>3</v>
      </c>
      <c r="B10" s="10">
        <v>109</v>
      </c>
      <c r="C10">
        <v>0.08</v>
      </c>
      <c r="D10">
        <f t="shared" si="0"/>
        <v>-0.53810000000000002</v>
      </c>
    </row>
    <row r="11" spans="1:6" x14ac:dyDescent="0.25">
      <c r="A11">
        <v>3</v>
      </c>
      <c r="B11" s="10">
        <v>112</v>
      </c>
      <c r="C11">
        <v>0.108</v>
      </c>
      <c r="D11">
        <f t="shared" si="0"/>
        <v>-0.5101</v>
      </c>
    </row>
    <row r="12" spans="1:6" x14ac:dyDescent="0.25">
      <c r="A12">
        <v>3</v>
      </c>
      <c r="B12" s="10">
        <v>28</v>
      </c>
      <c r="C12">
        <v>0.122</v>
      </c>
      <c r="D12">
        <f t="shared" si="0"/>
        <v>-0.49609999999999999</v>
      </c>
    </row>
    <row r="13" spans="1:6" x14ac:dyDescent="0.25">
      <c r="A13">
        <v>3</v>
      </c>
      <c r="B13" s="10">
        <v>19</v>
      </c>
      <c r="C13">
        <v>0.127</v>
      </c>
      <c r="D13">
        <f t="shared" si="0"/>
        <v>-0.49109999999999998</v>
      </c>
    </row>
    <row r="14" spans="1:6" x14ac:dyDescent="0.25">
      <c r="A14">
        <v>3</v>
      </c>
      <c r="B14" s="10">
        <v>9</v>
      </c>
      <c r="C14">
        <v>0.13500000000000001</v>
      </c>
      <c r="D14">
        <f t="shared" si="0"/>
        <v>-0.48309999999999997</v>
      </c>
    </row>
    <row r="15" spans="1:6" x14ac:dyDescent="0.25">
      <c r="A15">
        <v>3</v>
      </c>
      <c r="B15" s="1">
        <v>153</v>
      </c>
      <c r="C15">
        <v>0.16500000000000001</v>
      </c>
      <c r="D15">
        <f t="shared" si="0"/>
        <v>-0.45309999999999995</v>
      </c>
    </row>
    <row r="16" spans="1:6" x14ac:dyDescent="0.25">
      <c r="A16">
        <v>3</v>
      </c>
      <c r="B16" s="1">
        <v>257</v>
      </c>
      <c r="C16">
        <v>0.17100000000000001</v>
      </c>
      <c r="D16">
        <f t="shared" si="0"/>
        <v>-0.44709999999999994</v>
      </c>
    </row>
    <row r="17" spans="1:4" x14ac:dyDescent="0.25">
      <c r="A17">
        <v>3</v>
      </c>
      <c r="B17" s="1">
        <v>137</v>
      </c>
      <c r="C17">
        <v>0.17199999999999999</v>
      </c>
      <c r="D17">
        <f t="shared" si="0"/>
        <v>-0.4461</v>
      </c>
    </row>
    <row r="18" spans="1:4" x14ac:dyDescent="0.25">
      <c r="A18">
        <v>3</v>
      </c>
      <c r="B18" s="1">
        <v>294</v>
      </c>
      <c r="C18">
        <v>0.20100000000000001</v>
      </c>
      <c r="D18">
        <f t="shared" si="0"/>
        <v>-0.41709999999999997</v>
      </c>
    </row>
    <row r="19" spans="1:4" x14ac:dyDescent="0.25">
      <c r="A19">
        <v>3</v>
      </c>
      <c r="B19" s="1">
        <v>142</v>
      </c>
      <c r="C19">
        <v>0.26700000000000002</v>
      </c>
      <c r="D19">
        <f t="shared" si="0"/>
        <v>-0.35109999999999997</v>
      </c>
    </row>
    <row r="20" spans="1:4" x14ac:dyDescent="0.25">
      <c r="A20">
        <v>3</v>
      </c>
      <c r="B20" s="1">
        <v>55</v>
      </c>
      <c r="C20">
        <v>0.27700000000000002</v>
      </c>
      <c r="D20">
        <f t="shared" si="0"/>
        <v>-0.34109999999999996</v>
      </c>
    </row>
    <row r="21" spans="1:4" x14ac:dyDescent="0.25">
      <c r="A21">
        <v>3</v>
      </c>
      <c r="B21" s="1">
        <v>126</v>
      </c>
      <c r="C21">
        <v>0.28699999999999998</v>
      </c>
      <c r="D21">
        <f t="shared" si="0"/>
        <v>-0.33110000000000001</v>
      </c>
    </row>
    <row r="22" spans="1:4" x14ac:dyDescent="0.25">
      <c r="A22">
        <v>3</v>
      </c>
      <c r="B22" s="1">
        <v>249</v>
      </c>
      <c r="C22">
        <v>0.29599999999999999</v>
      </c>
      <c r="D22">
        <f t="shared" si="0"/>
        <v>-0.3221</v>
      </c>
    </row>
    <row r="23" spans="1:4" x14ac:dyDescent="0.25">
      <c r="A23">
        <v>3</v>
      </c>
      <c r="B23" s="1">
        <v>274</v>
      </c>
      <c r="C23">
        <v>0.30499999999999999</v>
      </c>
      <c r="D23">
        <f t="shared" si="0"/>
        <v>-0.31309999999999999</v>
      </c>
    </row>
    <row r="24" spans="1:4" x14ac:dyDescent="0.25">
      <c r="A24">
        <v>3</v>
      </c>
      <c r="B24" s="1">
        <v>35</v>
      </c>
      <c r="C24">
        <v>0.35499999999999998</v>
      </c>
      <c r="D24">
        <f t="shared" si="0"/>
        <v>-0.2631</v>
      </c>
    </row>
    <row r="25" spans="1:4" x14ac:dyDescent="0.25">
      <c r="A25">
        <v>3</v>
      </c>
      <c r="B25" s="1">
        <v>7</v>
      </c>
      <c r="C25">
        <v>0.39700000000000002</v>
      </c>
      <c r="D25">
        <f t="shared" si="0"/>
        <v>-0.22109999999999996</v>
      </c>
    </row>
    <row r="26" spans="1:4" x14ac:dyDescent="0.25">
      <c r="A26">
        <v>3</v>
      </c>
      <c r="B26" s="1">
        <v>148</v>
      </c>
      <c r="C26">
        <v>0.46300000000000002</v>
      </c>
      <c r="D26">
        <f t="shared" si="0"/>
        <v>-0.15509999999999996</v>
      </c>
    </row>
    <row r="27" spans="1:4" x14ac:dyDescent="0.25">
      <c r="A27">
        <v>3</v>
      </c>
      <c r="B27" s="1">
        <v>6</v>
      </c>
      <c r="C27">
        <v>0.46800000000000003</v>
      </c>
      <c r="D27">
        <f t="shared" si="0"/>
        <v>-0.15009999999999996</v>
      </c>
    </row>
    <row r="28" spans="1:4" x14ac:dyDescent="0.25">
      <c r="A28">
        <v>3</v>
      </c>
      <c r="B28" s="1">
        <v>37</v>
      </c>
      <c r="C28">
        <v>0.47299999999999998</v>
      </c>
      <c r="D28">
        <f t="shared" si="0"/>
        <v>-0.14510000000000001</v>
      </c>
    </row>
    <row r="29" spans="1:4" x14ac:dyDescent="0.25">
      <c r="A29">
        <v>3</v>
      </c>
      <c r="B29" s="1">
        <v>130</v>
      </c>
      <c r="C29">
        <v>0.51800000000000002</v>
      </c>
      <c r="D29">
        <f t="shared" si="0"/>
        <v>-0.10009999999999997</v>
      </c>
    </row>
    <row r="30" spans="1:4" x14ac:dyDescent="0.25">
      <c r="A30">
        <v>3</v>
      </c>
      <c r="B30" s="1">
        <v>279</v>
      </c>
      <c r="C30">
        <v>0.52600000000000002</v>
      </c>
      <c r="D30">
        <f t="shared" si="0"/>
        <v>-9.209999999999996E-2</v>
      </c>
    </row>
    <row r="31" spans="1:4" x14ac:dyDescent="0.25">
      <c r="A31">
        <v>3</v>
      </c>
      <c r="B31" s="1">
        <v>102</v>
      </c>
      <c r="C31">
        <v>0.59</v>
      </c>
      <c r="D31">
        <f t="shared" si="0"/>
        <v>-2.8100000000000014E-2</v>
      </c>
    </row>
    <row r="32" spans="1:4" x14ac:dyDescent="0.25">
      <c r="A32">
        <v>3</v>
      </c>
      <c r="B32" s="1">
        <v>129</v>
      </c>
      <c r="C32">
        <v>0.68799999999999994</v>
      </c>
      <c r="D32">
        <f t="shared" si="0"/>
        <v>6.9899999999999962E-2</v>
      </c>
    </row>
    <row r="33" spans="1:4" x14ac:dyDescent="0.25">
      <c r="A33">
        <v>3</v>
      </c>
      <c r="B33" s="1">
        <v>32</v>
      </c>
      <c r="C33">
        <v>0.70299999999999996</v>
      </c>
      <c r="D33">
        <f t="shared" si="0"/>
        <v>8.4899999999999975E-2</v>
      </c>
    </row>
    <row r="34" spans="1:4" x14ac:dyDescent="0.25">
      <c r="A34">
        <v>3</v>
      </c>
      <c r="B34" s="1">
        <v>275</v>
      </c>
      <c r="C34">
        <v>0.76700000000000002</v>
      </c>
      <c r="D34">
        <f t="shared" si="0"/>
        <v>0.14890000000000003</v>
      </c>
    </row>
    <row r="35" spans="1:4" x14ac:dyDescent="0.25">
      <c r="A35">
        <v>3</v>
      </c>
      <c r="B35" s="1">
        <v>56</v>
      </c>
      <c r="C35">
        <v>0.77</v>
      </c>
      <c r="D35">
        <f t="shared" si="0"/>
        <v>0.15190000000000003</v>
      </c>
    </row>
    <row r="36" spans="1:4" x14ac:dyDescent="0.25">
      <c r="A36">
        <v>3</v>
      </c>
      <c r="B36" s="1">
        <v>69</v>
      </c>
      <c r="C36">
        <v>0.77900000000000003</v>
      </c>
      <c r="D36">
        <f t="shared" si="0"/>
        <v>0.16090000000000004</v>
      </c>
    </row>
    <row r="37" spans="1:4" x14ac:dyDescent="0.25">
      <c r="A37">
        <v>3</v>
      </c>
      <c r="B37" s="1">
        <v>144</v>
      </c>
      <c r="C37">
        <v>0.84399999999999997</v>
      </c>
      <c r="D37">
        <f t="shared" si="0"/>
        <v>0.22589999999999999</v>
      </c>
    </row>
    <row r="38" spans="1:4" x14ac:dyDescent="0.25">
      <c r="A38">
        <v>3</v>
      </c>
      <c r="B38" s="1">
        <v>276</v>
      </c>
      <c r="C38">
        <v>0.86099999999999999</v>
      </c>
      <c r="D38">
        <f t="shared" si="0"/>
        <v>0.2429</v>
      </c>
    </row>
    <row r="39" spans="1:4" x14ac:dyDescent="0.25">
      <c r="A39">
        <v>3</v>
      </c>
      <c r="B39" s="10">
        <v>120</v>
      </c>
      <c r="C39">
        <v>0.91700000000000004</v>
      </c>
      <c r="D39">
        <f t="shared" si="0"/>
        <v>0.29890000000000005</v>
      </c>
    </row>
    <row r="40" spans="1:4" x14ac:dyDescent="0.25">
      <c r="A40">
        <v>3</v>
      </c>
      <c r="B40" s="10">
        <v>154</v>
      </c>
      <c r="C40">
        <v>0.93400000000000005</v>
      </c>
      <c r="D40">
        <f t="shared" si="0"/>
        <v>0.31590000000000007</v>
      </c>
    </row>
    <row r="41" spans="1:4" x14ac:dyDescent="0.25">
      <c r="A41">
        <v>3</v>
      </c>
      <c r="B41" s="10">
        <v>293</v>
      </c>
      <c r="C41">
        <v>0.96799999999999997</v>
      </c>
      <c r="D41">
        <f t="shared" si="0"/>
        <v>0.34989999999999999</v>
      </c>
    </row>
    <row r="42" spans="1:4" x14ac:dyDescent="0.25">
      <c r="A42">
        <v>3</v>
      </c>
      <c r="B42" s="10">
        <v>111</v>
      </c>
      <c r="C42">
        <v>1.1299999999999999</v>
      </c>
      <c r="D42">
        <f t="shared" si="0"/>
        <v>0.51189999999999991</v>
      </c>
    </row>
    <row r="43" spans="1:4" x14ac:dyDescent="0.25">
      <c r="A43">
        <v>3</v>
      </c>
      <c r="B43" s="10">
        <v>59</v>
      </c>
      <c r="C43">
        <v>1.2629999999999999</v>
      </c>
      <c r="D43">
        <f t="shared" si="0"/>
        <v>0.64489999999999992</v>
      </c>
    </row>
    <row r="44" spans="1:4" x14ac:dyDescent="0.25">
      <c r="A44">
        <v>3</v>
      </c>
      <c r="B44" s="10">
        <v>179</v>
      </c>
      <c r="C44">
        <v>1.345</v>
      </c>
      <c r="D44">
        <f t="shared" si="0"/>
        <v>0.72689999999999999</v>
      </c>
    </row>
    <row r="45" spans="1:4" x14ac:dyDescent="0.25">
      <c r="A45">
        <v>3</v>
      </c>
      <c r="B45" s="10">
        <v>319</v>
      </c>
      <c r="C45">
        <v>1.3480000000000001</v>
      </c>
      <c r="D45">
        <f t="shared" si="0"/>
        <v>0.7299000000000001</v>
      </c>
    </row>
    <row r="46" spans="1:4" x14ac:dyDescent="0.25">
      <c r="A46">
        <v>3</v>
      </c>
      <c r="B46" s="10">
        <v>226</v>
      </c>
      <c r="C46">
        <v>1.379</v>
      </c>
      <c r="D46">
        <f t="shared" si="0"/>
        <v>0.76090000000000002</v>
      </c>
    </row>
    <row r="47" spans="1:4" x14ac:dyDescent="0.25">
      <c r="A47">
        <v>3</v>
      </c>
      <c r="B47" s="10">
        <v>308</v>
      </c>
      <c r="C47">
        <v>1.4079999999999999</v>
      </c>
      <c r="D47">
        <f t="shared" si="0"/>
        <v>0.78989999999999994</v>
      </c>
    </row>
    <row r="48" spans="1:4" x14ac:dyDescent="0.25">
      <c r="A48">
        <v>3</v>
      </c>
      <c r="B48" s="10">
        <v>134</v>
      </c>
      <c r="C48">
        <v>1.6859999999999999</v>
      </c>
      <c r="D48">
        <f t="shared" si="0"/>
        <v>1.0678999999999998</v>
      </c>
    </row>
    <row r="49" spans="1:4" x14ac:dyDescent="0.25">
      <c r="A49">
        <v>3</v>
      </c>
      <c r="B49" s="10">
        <v>167</v>
      </c>
      <c r="C49">
        <v>1.952</v>
      </c>
      <c r="D49">
        <f t="shared" si="0"/>
        <v>1.3338999999999999</v>
      </c>
    </row>
    <row r="50" spans="1:4" x14ac:dyDescent="0.25">
      <c r="A50">
        <v>3</v>
      </c>
      <c r="B50" s="10">
        <v>295</v>
      </c>
      <c r="C50">
        <v>2.16</v>
      </c>
      <c r="D50">
        <f t="shared" si="0"/>
        <v>1.5419</v>
      </c>
    </row>
    <row r="51" spans="1:4" x14ac:dyDescent="0.25">
      <c r="A51">
        <v>3</v>
      </c>
      <c r="B51" s="10">
        <v>298</v>
      </c>
      <c r="C51">
        <v>2.1739999999999999</v>
      </c>
      <c r="D51">
        <f t="shared" si="0"/>
        <v>1.5558999999999998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workbookViewId="0"/>
  </sheetViews>
  <sheetFormatPr defaultColWidth="10.75" defaultRowHeight="15.75" x14ac:dyDescent="0.25"/>
  <cols>
    <col min="6" max="6" width="19.75" customWidth="1"/>
  </cols>
  <sheetData>
    <row r="1" spans="1:6" x14ac:dyDescent="0.25">
      <c r="A1" s="7" t="s">
        <v>0</v>
      </c>
      <c r="B1" s="7" t="s">
        <v>14</v>
      </c>
      <c r="C1" s="7" t="s">
        <v>13</v>
      </c>
      <c r="D1" s="7" t="s">
        <v>10</v>
      </c>
      <c r="F1" s="7" t="s">
        <v>9</v>
      </c>
    </row>
    <row r="2" spans="1:6" x14ac:dyDescent="0.25">
      <c r="A2">
        <v>4</v>
      </c>
      <c r="B2" s="10">
        <v>320</v>
      </c>
      <c r="C2">
        <v>8.9999999999999993E-3</v>
      </c>
      <c r="D2">
        <f>C2-0.639514286</f>
        <v>-0.63051428600000003</v>
      </c>
      <c r="F2">
        <f>AVERAGE(C:C)</f>
        <v>0.6395142857142857</v>
      </c>
    </row>
    <row r="3" spans="1:6" x14ac:dyDescent="0.25">
      <c r="A3">
        <v>4</v>
      </c>
      <c r="B3" s="10">
        <v>149</v>
      </c>
      <c r="C3">
        <v>1.6E-2</v>
      </c>
      <c r="D3">
        <f t="shared" ref="D3:D66" si="0">C3-0.639514286</f>
        <v>-0.62351428600000003</v>
      </c>
    </row>
    <row r="4" spans="1:6" x14ac:dyDescent="0.25">
      <c r="A4">
        <v>4</v>
      </c>
      <c r="B4" s="10">
        <v>123</v>
      </c>
      <c r="C4">
        <v>1.7999999999999999E-2</v>
      </c>
      <c r="D4">
        <f t="shared" si="0"/>
        <v>-0.62151428600000003</v>
      </c>
      <c r="F4" s="11" t="s">
        <v>15</v>
      </c>
    </row>
    <row r="5" spans="1:6" x14ac:dyDescent="0.25">
      <c r="A5">
        <v>4</v>
      </c>
      <c r="B5" s="10">
        <v>214</v>
      </c>
      <c r="C5">
        <v>3.1E-2</v>
      </c>
      <c r="D5">
        <f t="shared" si="0"/>
        <v>-0.60851428600000002</v>
      </c>
    </row>
    <row r="6" spans="1:6" x14ac:dyDescent="0.25">
      <c r="A6">
        <v>4</v>
      </c>
      <c r="B6" s="10">
        <v>234</v>
      </c>
      <c r="C6">
        <v>3.4000000000000002E-2</v>
      </c>
      <c r="D6">
        <f t="shared" si="0"/>
        <v>-0.60551428600000001</v>
      </c>
    </row>
    <row r="7" spans="1:6" x14ac:dyDescent="0.25">
      <c r="A7">
        <v>4</v>
      </c>
      <c r="B7" s="10">
        <v>165</v>
      </c>
      <c r="C7">
        <v>3.5999999999999997E-2</v>
      </c>
      <c r="D7">
        <f t="shared" si="0"/>
        <v>-0.60351428600000001</v>
      </c>
    </row>
    <row r="8" spans="1:6" x14ac:dyDescent="0.25">
      <c r="A8">
        <v>4</v>
      </c>
      <c r="B8" s="10">
        <v>247</v>
      </c>
      <c r="C8">
        <v>0.04</v>
      </c>
      <c r="D8">
        <f t="shared" si="0"/>
        <v>-0.59951428600000001</v>
      </c>
    </row>
    <row r="9" spans="1:6" x14ac:dyDescent="0.25">
      <c r="A9">
        <v>4</v>
      </c>
      <c r="B9" s="10">
        <v>125</v>
      </c>
      <c r="C9">
        <v>4.3999999999999997E-2</v>
      </c>
      <c r="D9">
        <f t="shared" si="0"/>
        <v>-0.595514286</v>
      </c>
    </row>
    <row r="10" spans="1:6" x14ac:dyDescent="0.25">
      <c r="A10">
        <v>4</v>
      </c>
      <c r="B10" s="10">
        <v>203</v>
      </c>
      <c r="C10">
        <v>5.0999999999999997E-2</v>
      </c>
      <c r="D10">
        <f t="shared" si="0"/>
        <v>-0.588514286</v>
      </c>
    </row>
    <row r="11" spans="1:6" x14ac:dyDescent="0.25">
      <c r="A11">
        <v>4</v>
      </c>
      <c r="B11" s="10">
        <v>296</v>
      </c>
      <c r="C11">
        <v>5.5E-2</v>
      </c>
      <c r="D11">
        <f t="shared" si="0"/>
        <v>-0.58451428599999999</v>
      </c>
    </row>
    <row r="12" spans="1:6" x14ac:dyDescent="0.25">
      <c r="A12">
        <v>4</v>
      </c>
      <c r="B12" s="10">
        <v>243</v>
      </c>
      <c r="C12">
        <v>6.7000000000000004E-2</v>
      </c>
      <c r="D12">
        <f t="shared" si="0"/>
        <v>-0.57251428600000009</v>
      </c>
    </row>
    <row r="13" spans="1:6" x14ac:dyDescent="0.25">
      <c r="A13">
        <v>4</v>
      </c>
      <c r="B13" s="10">
        <v>196</v>
      </c>
      <c r="C13">
        <v>7.8E-2</v>
      </c>
      <c r="D13">
        <f t="shared" si="0"/>
        <v>-0.56151428600000008</v>
      </c>
    </row>
    <row r="14" spans="1:6" x14ac:dyDescent="0.25">
      <c r="A14">
        <v>4</v>
      </c>
      <c r="B14" s="10">
        <v>138</v>
      </c>
      <c r="C14">
        <v>8.7999999999999995E-2</v>
      </c>
      <c r="D14">
        <f t="shared" si="0"/>
        <v>-0.55151428600000008</v>
      </c>
    </row>
    <row r="15" spans="1:6" x14ac:dyDescent="0.25">
      <c r="A15">
        <v>4</v>
      </c>
      <c r="B15" s="10">
        <v>186</v>
      </c>
      <c r="C15">
        <v>0.09</v>
      </c>
      <c r="D15">
        <f t="shared" si="0"/>
        <v>-0.54951428600000007</v>
      </c>
    </row>
    <row r="16" spans="1:6" x14ac:dyDescent="0.25">
      <c r="A16">
        <v>4</v>
      </c>
      <c r="B16" s="10">
        <v>52</v>
      </c>
      <c r="C16">
        <v>0.09</v>
      </c>
      <c r="D16">
        <f t="shared" si="0"/>
        <v>-0.54951428600000007</v>
      </c>
    </row>
    <row r="17" spans="1:4" x14ac:dyDescent="0.25">
      <c r="A17">
        <v>4</v>
      </c>
      <c r="B17" s="10">
        <v>34</v>
      </c>
      <c r="C17">
        <v>9.6000000000000002E-2</v>
      </c>
      <c r="D17">
        <f t="shared" si="0"/>
        <v>-0.54351428600000007</v>
      </c>
    </row>
    <row r="18" spans="1:4" x14ac:dyDescent="0.25">
      <c r="A18">
        <v>4</v>
      </c>
      <c r="B18" s="10">
        <v>150</v>
      </c>
      <c r="C18">
        <v>0.10100000000000001</v>
      </c>
      <c r="D18">
        <f t="shared" si="0"/>
        <v>-0.53851428600000006</v>
      </c>
    </row>
    <row r="19" spans="1:4" x14ac:dyDescent="0.25">
      <c r="A19">
        <v>4</v>
      </c>
      <c r="B19" s="10">
        <v>225</v>
      </c>
      <c r="C19">
        <v>0.122</v>
      </c>
      <c r="D19">
        <f t="shared" si="0"/>
        <v>-0.51751428600000005</v>
      </c>
    </row>
    <row r="20" spans="1:4" x14ac:dyDescent="0.25">
      <c r="A20">
        <v>4</v>
      </c>
      <c r="B20" s="1">
        <v>35</v>
      </c>
      <c r="C20">
        <v>0.161</v>
      </c>
      <c r="D20">
        <f t="shared" si="0"/>
        <v>-0.47851428600000001</v>
      </c>
    </row>
    <row r="21" spans="1:4" x14ac:dyDescent="0.25">
      <c r="A21">
        <v>4</v>
      </c>
      <c r="B21" s="1">
        <v>316</v>
      </c>
      <c r="C21">
        <v>0.18099999999999999</v>
      </c>
      <c r="D21">
        <f t="shared" si="0"/>
        <v>-0.45851428600000005</v>
      </c>
    </row>
    <row r="22" spans="1:4" x14ac:dyDescent="0.25">
      <c r="A22">
        <v>4</v>
      </c>
      <c r="B22" s="1">
        <v>278</v>
      </c>
      <c r="C22">
        <v>0.19900000000000001</v>
      </c>
      <c r="D22">
        <f t="shared" si="0"/>
        <v>-0.44051428600000003</v>
      </c>
    </row>
    <row r="23" spans="1:4" x14ac:dyDescent="0.25">
      <c r="A23">
        <v>4</v>
      </c>
      <c r="B23" s="1">
        <v>254</v>
      </c>
      <c r="C23">
        <v>0.22</v>
      </c>
      <c r="D23">
        <f t="shared" si="0"/>
        <v>-0.41951428600000007</v>
      </c>
    </row>
    <row r="24" spans="1:4" x14ac:dyDescent="0.25">
      <c r="A24">
        <v>4</v>
      </c>
      <c r="B24" s="1">
        <v>286</v>
      </c>
      <c r="C24">
        <v>0.221</v>
      </c>
      <c r="D24">
        <f t="shared" si="0"/>
        <v>-0.41851428600000007</v>
      </c>
    </row>
    <row r="25" spans="1:4" x14ac:dyDescent="0.25">
      <c r="A25">
        <v>4</v>
      </c>
      <c r="B25" s="1">
        <v>200</v>
      </c>
      <c r="C25">
        <v>0.23899999999999999</v>
      </c>
      <c r="D25">
        <f t="shared" si="0"/>
        <v>-0.40051428600000005</v>
      </c>
    </row>
    <row r="26" spans="1:4" x14ac:dyDescent="0.25">
      <c r="A26">
        <v>4</v>
      </c>
      <c r="B26" s="1">
        <v>161</v>
      </c>
      <c r="C26">
        <v>0.23899999999999999</v>
      </c>
      <c r="D26">
        <f t="shared" si="0"/>
        <v>-0.40051428600000005</v>
      </c>
    </row>
    <row r="27" spans="1:4" x14ac:dyDescent="0.25">
      <c r="A27">
        <v>4</v>
      </c>
      <c r="B27" s="1">
        <v>173</v>
      </c>
      <c r="C27">
        <v>0.24299999999999999</v>
      </c>
      <c r="D27">
        <f t="shared" si="0"/>
        <v>-0.39651428600000005</v>
      </c>
    </row>
    <row r="28" spans="1:4" x14ac:dyDescent="0.25">
      <c r="A28">
        <v>4</v>
      </c>
      <c r="B28" s="1">
        <v>14</v>
      </c>
      <c r="C28">
        <v>0.25700000000000001</v>
      </c>
      <c r="D28">
        <f t="shared" si="0"/>
        <v>-0.38251428600000004</v>
      </c>
    </row>
    <row r="29" spans="1:4" x14ac:dyDescent="0.25">
      <c r="A29">
        <v>4</v>
      </c>
      <c r="B29" s="1">
        <v>301</v>
      </c>
      <c r="C29">
        <v>0.30599999999999999</v>
      </c>
      <c r="D29">
        <f t="shared" si="0"/>
        <v>-0.33351428600000005</v>
      </c>
    </row>
    <row r="30" spans="1:4" x14ac:dyDescent="0.25">
      <c r="A30">
        <v>4</v>
      </c>
      <c r="B30" s="1">
        <v>290</v>
      </c>
      <c r="C30">
        <v>0.32100000000000001</v>
      </c>
      <c r="D30">
        <f t="shared" si="0"/>
        <v>-0.31851428600000004</v>
      </c>
    </row>
    <row r="31" spans="1:4" x14ac:dyDescent="0.25">
      <c r="A31">
        <v>4</v>
      </c>
      <c r="B31" s="1">
        <v>317</v>
      </c>
      <c r="C31">
        <v>0.33</v>
      </c>
      <c r="D31">
        <f t="shared" si="0"/>
        <v>-0.30951428600000003</v>
      </c>
    </row>
    <row r="32" spans="1:4" x14ac:dyDescent="0.25">
      <c r="A32">
        <v>4</v>
      </c>
      <c r="B32" s="1">
        <v>178</v>
      </c>
      <c r="C32">
        <v>0.35299999999999998</v>
      </c>
      <c r="D32">
        <f t="shared" si="0"/>
        <v>-0.28651428600000006</v>
      </c>
    </row>
    <row r="33" spans="1:4" x14ac:dyDescent="0.25">
      <c r="A33">
        <v>4</v>
      </c>
      <c r="B33" s="1">
        <v>156</v>
      </c>
      <c r="C33">
        <v>0.371</v>
      </c>
      <c r="D33">
        <f t="shared" si="0"/>
        <v>-0.26851428600000005</v>
      </c>
    </row>
    <row r="34" spans="1:4" x14ac:dyDescent="0.25">
      <c r="A34">
        <v>4</v>
      </c>
      <c r="B34" s="1">
        <v>127</v>
      </c>
      <c r="C34">
        <v>0.41299999999999998</v>
      </c>
      <c r="D34">
        <f t="shared" si="0"/>
        <v>-0.22651428600000006</v>
      </c>
    </row>
    <row r="35" spans="1:4" x14ac:dyDescent="0.25">
      <c r="A35">
        <v>4</v>
      </c>
      <c r="B35" s="1">
        <v>238</v>
      </c>
      <c r="C35">
        <v>0.42299999999999999</v>
      </c>
      <c r="D35">
        <f t="shared" si="0"/>
        <v>-0.21651428600000006</v>
      </c>
    </row>
    <row r="36" spans="1:4" x14ac:dyDescent="0.25">
      <c r="A36">
        <v>4</v>
      </c>
      <c r="B36" s="1">
        <v>201</v>
      </c>
      <c r="C36">
        <v>0.48699999999999999</v>
      </c>
      <c r="D36">
        <f t="shared" si="0"/>
        <v>-0.15251428600000005</v>
      </c>
    </row>
    <row r="37" spans="1:4" x14ac:dyDescent="0.25">
      <c r="A37">
        <v>4</v>
      </c>
      <c r="B37" s="1">
        <v>108</v>
      </c>
      <c r="C37">
        <v>0.61399999999999999</v>
      </c>
      <c r="D37">
        <f t="shared" si="0"/>
        <v>-2.5514286000000053E-2</v>
      </c>
    </row>
    <row r="38" spans="1:4" x14ac:dyDescent="0.25">
      <c r="A38">
        <v>4</v>
      </c>
      <c r="B38" s="1">
        <v>136</v>
      </c>
      <c r="C38">
        <v>0.63300000000000001</v>
      </c>
      <c r="D38">
        <f t="shared" si="0"/>
        <v>-6.5142860000000358E-3</v>
      </c>
    </row>
    <row r="39" spans="1:4" x14ac:dyDescent="0.25">
      <c r="A39">
        <v>4</v>
      </c>
      <c r="B39" s="1">
        <v>168</v>
      </c>
      <c r="C39">
        <v>0.63800000000000001</v>
      </c>
      <c r="D39">
        <f t="shared" si="0"/>
        <v>-1.5142860000000313E-3</v>
      </c>
    </row>
    <row r="40" spans="1:4" x14ac:dyDescent="0.25">
      <c r="A40">
        <v>4</v>
      </c>
      <c r="B40" s="1">
        <v>172</v>
      </c>
      <c r="C40">
        <v>0.66</v>
      </c>
      <c r="D40">
        <f t="shared" si="0"/>
        <v>2.0485713999999988E-2</v>
      </c>
    </row>
    <row r="41" spans="1:4" x14ac:dyDescent="0.25">
      <c r="A41">
        <v>4</v>
      </c>
      <c r="B41" s="1">
        <v>115</v>
      </c>
      <c r="C41">
        <v>0.66600000000000004</v>
      </c>
      <c r="D41">
        <f t="shared" si="0"/>
        <v>2.6485713999999994E-2</v>
      </c>
    </row>
    <row r="42" spans="1:4" x14ac:dyDescent="0.25">
      <c r="A42">
        <v>4</v>
      </c>
      <c r="B42" s="1">
        <v>16</v>
      </c>
      <c r="C42">
        <v>0.67900000000000005</v>
      </c>
      <c r="D42">
        <f t="shared" si="0"/>
        <v>3.9485714000000005E-2</v>
      </c>
    </row>
    <row r="43" spans="1:4" x14ac:dyDescent="0.25">
      <c r="A43">
        <v>4</v>
      </c>
      <c r="B43" s="1">
        <v>10</v>
      </c>
      <c r="C43">
        <v>0.753</v>
      </c>
      <c r="D43">
        <f t="shared" si="0"/>
        <v>0.11348571399999996</v>
      </c>
    </row>
    <row r="44" spans="1:4" x14ac:dyDescent="0.25">
      <c r="A44">
        <v>4</v>
      </c>
      <c r="B44" s="1">
        <v>12</v>
      </c>
      <c r="C44">
        <v>0.76100000000000001</v>
      </c>
      <c r="D44">
        <f t="shared" si="0"/>
        <v>0.12148571399999997</v>
      </c>
    </row>
    <row r="45" spans="1:4" x14ac:dyDescent="0.25">
      <c r="A45">
        <v>4</v>
      </c>
      <c r="B45" s="1">
        <v>176</v>
      </c>
      <c r="C45">
        <v>0.80200000000000005</v>
      </c>
      <c r="D45">
        <f t="shared" si="0"/>
        <v>0.162485714</v>
      </c>
    </row>
    <row r="46" spans="1:4" x14ac:dyDescent="0.25">
      <c r="A46">
        <v>4</v>
      </c>
      <c r="B46" s="1">
        <v>137</v>
      </c>
      <c r="C46">
        <v>0.82599999999999996</v>
      </c>
      <c r="D46">
        <f t="shared" si="0"/>
        <v>0.18648571399999991</v>
      </c>
    </row>
    <row r="47" spans="1:4" x14ac:dyDescent="0.25">
      <c r="A47">
        <v>4</v>
      </c>
      <c r="B47" s="1">
        <v>26</v>
      </c>
      <c r="C47">
        <v>0.83199999999999996</v>
      </c>
      <c r="D47">
        <f t="shared" si="0"/>
        <v>0.19248571399999992</v>
      </c>
    </row>
    <row r="48" spans="1:4" x14ac:dyDescent="0.25">
      <c r="A48">
        <v>4</v>
      </c>
      <c r="B48" s="1">
        <v>321</v>
      </c>
      <c r="C48">
        <v>0.84599999999999997</v>
      </c>
      <c r="D48">
        <f t="shared" si="0"/>
        <v>0.20648571399999993</v>
      </c>
    </row>
    <row r="49" spans="1:4" x14ac:dyDescent="0.25">
      <c r="A49">
        <v>4</v>
      </c>
      <c r="B49" s="1">
        <v>244</v>
      </c>
      <c r="C49">
        <v>0.86</v>
      </c>
      <c r="D49">
        <f t="shared" si="0"/>
        <v>0.22048571399999994</v>
      </c>
    </row>
    <row r="50" spans="1:4" x14ac:dyDescent="0.25">
      <c r="A50">
        <v>4</v>
      </c>
      <c r="B50" s="1">
        <v>268</v>
      </c>
      <c r="C50">
        <v>0.91100000000000003</v>
      </c>
      <c r="D50">
        <f t="shared" si="0"/>
        <v>0.27148571399999999</v>
      </c>
    </row>
    <row r="51" spans="1:4" x14ac:dyDescent="0.25">
      <c r="A51">
        <v>4</v>
      </c>
      <c r="B51" s="1">
        <v>74</v>
      </c>
      <c r="C51">
        <v>0.92900000000000005</v>
      </c>
      <c r="D51">
        <f t="shared" si="0"/>
        <v>0.28948571400000001</v>
      </c>
    </row>
    <row r="52" spans="1:4" x14ac:dyDescent="0.25">
      <c r="A52">
        <v>4</v>
      </c>
      <c r="B52" s="1">
        <v>27</v>
      </c>
      <c r="C52">
        <v>0.96499999999999997</v>
      </c>
      <c r="D52">
        <f t="shared" si="0"/>
        <v>0.32548571399999993</v>
      </c>
    </row>
    <row r="53" spans="1:4" x14ac:dyDescent="0.25">
      <c r="A53">
        <v>4</v>
      </c>
      <c r="B53" s="1">
        <v>239</v>
      </c>
      <c r="C53">
        <v>0.98</v>
      </c>
      <c r="D53">
        <f t="shared" si="0"/>
        <v>0.34048571399999994</v>
      </c>
    </row>
    <row r="54" spans="1:4" x14ac:dyDescent="0.25">
      <c r="A54">
        <v>4</v>
      </c>
      <c r="B54" s="10">
        <v>182</v>
      </c>
      <c r="C54">
        <v>1.0069999999999999</v>
      </c>
      <c r="D54">
        <f t="shared" si="0"/>
        <v>0.36748571399999985</v>
      </c>
    </row>
    <row r="55" spans="1:4" x14ac:dyDescent="0.25">
      <c r="A55">
        <v>4</v>
      </c>
      <c r="B55" s="10">
        <v>140</v>
      </c>
      <c r="C55">
        <v>1.052</v>
      </c>
      <c r="D55">
        <f t="shared" si="0"/>
        <v>0.412485714</v>
      </c>
    </row>
    <row r="56" spans="1:4" x14ac:dyDescent="0.25">
      <c r="A56">
        <v>4</v>
      </c>
      <c r="B56" s="10">
        <v>314</v>
      </c>
      <c r="C56">
        <v>1.087</v>
      </c>
      <c r="D56">
        <f t="shared" si="0"/>
        <v>0.44748571399999992</v>
      </c>
    </row>
    <row r="57" spans="1:4" x14ac:dyDescent="0.25">
      <c r="A57">
        <v>4</v>
      </c>
      <c r="B57" s="10">
        <v>42</v>
      </c>
      <c r="C57">
        <v>1.0920000000000001</v>
      </c>
      <c r="D57">
        <f t="shared" si="0"/>
        <v>0.45248571400000004</v>
      </c>
    </row>
    <row r="58" spans="1:4" x14ac:dyDescent="0.25">
      <c r="A58">
        <v>4</v>
      </c>
      <c r="B58" s="10">
        <v>252</v>
      </c>
      <c r="C58">
        <v>1.0940000000000001</v>
      </c>
      <c r="D58">
        <f t="shared" si="0"/>
        <v>0.45448571400000004</v>
      </c>
    </row>
    <row r="59" spans="1:4" x14ac:dyDescent="0.25">
      <c r="A59">
        <v>4</v>
      </c>
      <c r="B59" s="10">
        <v>119</v>
      </c>
      <c r="C59">
        <v>1.1830000000000001</v>
      </c>
      <c r="D59">
        <f t="shared" si="0"/>
        <v>0.54348571400000001</v>
      </c>
    </row>
    <row r="60" spans="1:4" x14ac:dyDescent="0.25">
      <c r="A60">
        <v>4</v>
      </c>
      <c r="B60" s="10">
        <v>218</v>
      </c>
      <c r="C60">
        <v>1.2190000000000001</v>
      </c>
      <c r="D60">
        <f t="shared" si="0"/>
        <v>0.57948571400000004</v>
      </c>
    </row>
    <row r="61" spans="1:4" x14ac:dyDescent="0.25">
      <c r="A61">
        <v>4</v>
      </c>
      <c r="B61" s="10">
        <v>143</v>
      </c>
      <c r="C61">
        <v>1.3280000000000001</v>
      </c>
      <c r="D61">
        <f t="shared" si="0"/>
        <v>0.68848571400000003</v>
      </c>
    </row>
    <row r="62" spans="1:4" x14ac:dyDescent="0.25">
      <c r="A62">
        <v>4</v>
      </c>
      <c r="B62" s="10">
        <v>192</v>
      </c>
      <c r="C62">
        <v>1.3360000000000001</v>
      </c>
      <c r="D62">
        <f t="shared" si="0"/>
        <v>0.69648571400000003</v>
      </c>
    </row>
    <row r="63" spans="1:4" x14ac:dyDescent="0.25">
      <c r="A63">
        <v>4</v>
      </c>
      <c r="B63" s="10">
        <v>227</v>
      </c>
      <c r="C63">
        <v>1.4550000000000001</v>
      </c>
      <c r="D63">
        <f t="shared" si="0"/>
        <v>0.81548571400000003</v>
      </c>
    </row>
    <row r="64" spans="1:4" x14ac:dyDescent="0.25">
      <c r="A64">
        <v>4</v>
      </c>
      <c r="B64" s="10">
        <v>312</v>
      </c>
      <c r="C64">
        <v>1.4630000000000001</v>
      </c>
      <c r="D64">
        <f t="shared" si="0"/>
        <v>0.82348571400000004</v>
      </c>
    </row>
    <row r="65" spans="1:4" x14ac:dyDescent="0.25">
      <c r="A65">
        <v>4</v>
      </c>
      <c r="B65" s="10">
        <v>180</v>
      </c>
      <c r="C65">
        <v>1.464</v>
      </c>
      <c r="D65">
        <f t="shared" si="0"/>
        <v>0.82448571399999993</v>
      </c>
    </row>
    <row r="66" spans="1:4" x14ac:dyDescent="0.25">
      <c r="A66">
        <v>4</v>
      </c>
      <c r="B66" s="10">
        <v>224</v>
      </c>
      <c r="C66">
        <v>1.5369999999999999</v>
      </c>
      <c r="D66">
        <f t="shared" si="0"/>
        <v>0.89748571399999988</v>
      </c>
    </row>
    <row r="67" spans="1:4" x14ac:dyDescent="0.25">
      <c r="A67">
        <v>4</v>
      </c>
      <c r="B67" s="10">
        <v>220</v>
      </c>
      <c r="C67">
        <v>1.5860000000000001</v>
      </c>
      <c r="D67">
        <f t="shared" ref="D67:D71" si="1">C67-0.639514286</f>
        <v>0.94648571400000003</v>
      </c>
    </row>
    <row r="68" spans="1:4" x14ac:dyDescent="0.25">
      <c r="A68">
        <v>4</v>
      </c>
      <c r="B68" s="10">
        <v>264</v>
      </c>
      <c r="C68">
        <v>1.649</v>
      </c>
      <c r="D68">
        <f t="shared" si="1"/>
        <v>1.009485714</v>
      </c>
    </row>
    <row r="69" spans="1:4" x14ac:dyDescent="0.25">
      <c r="A69">
        <v>4</v>
      </c>
      <c r="B69" s="10">
        <v>181</v>
      </c>
      <c r="C69">
        <v>1.845</v>
      </c>
      <c r="D69">
        <f t="shared" si="1"/>
        <v>1.2054857139999999</v>
      </c>
    </row>
    <row r="70" spans="1:4" x14ac:dyDescent="0.25">
      <c r="A70">
        <v>4</v>
      </c>
      <c r="B70" s="10">
        <v>194</v>
      </c>
      <c r="C70">
        <v>1.9710000000000001</v>
      </c>
      <c r="D70">
        <f t="shared" si="1"/>
        <v>1.331485714</v>
      </c>
    </row>
    <row r="71" spans="1:4" x14ac:dyDescent="0.25">
      <c r="A71">
        <v>4</v>
      </c>
      <c r="B71" s="10">
        <v>158</v>
      </c>
      <c r="C71">
        <v>2.0129999999999999</v>
      </c>
      <c r="D71">
        <f t="shared" si="1"/>
        <v>1.3734857139999999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/>
  </sheetViews>
  <sheetFormatPr defaultColWidth="10.75" defaultRowHeight="15.75" x14ac:dyDescent="0.25"/>
  <cols>
    <col min="6" max="6" width="19.5" customWidth="1"/>
  </cols>
  <sheetData>
    <row r="1" spans="1:6" x14ac:dyDescent="0.25">
      <c r="A1" s="7" t="s">
        <v>0</v>
      </c>
      <c r="B1" s="7" t="s">
        <v>14</v>
      </c>
      <c r="C1" s="7" t="s">
        <v>13</v>
      </c>
      <c r="D1" s="7" t="s">
        <v>10</v>
      </c>
      <c r="F1" s="7" t="s">
        <v>9</v>
      </c>
    </row>
    <row r="2" spans="1:6" x14ac:dyDescent="0.25">
      <c r="A2" s="1">
        <v>5</v>
      </c>
      <c r="B2" s="10">
        <v>169</v>
      </c>
      <c r="C2" s="1">
        <v>2E-3</v>
      </c>
      <c r="D2">
        <f>C2-0.646824561</f>
        <v>-0.64482456099999996</v>
      </c>
      <c r="F2">
        <f>AVERAGE(C:C)</f>
        <v>0.64682456140350875</v>
      </c>
    </row>
    <row r="3" spans="1:6" x14ac:dyDescent="0.25">
      <c r="A3" s="1">
        <v>5</v>
      </c>
      <c r="B3" s="10">
        <v>211</v>
      </c>
      <c r="C3" s="1">
        <v>4.0000000000000001E-3</v>
      </c>
      <c r="D3">
        <f t="shared" ref="D3:D58" si="0">C3-0.646824561</f>
        <v>-0.64282456099999996</v>
      </c>
    </row>
    <row r="4" spans="1:6" x14ac:dyDescent="0.25">
      <c r="A4" s="1">
        <v>5</v>
      </c>
      <c r="B4" s="10">
        <v>92</v>
      </c>
      <c r="C4" s="1">
        <v>2.1000000000000001E-2</v>
      </c>
      <c r="D4">
        <f t="shared" si="0"/>
        <v>-0.62582456099999995</v>
      </c>
      <c r="F4" s="11" t="s">
        <v>15</v>
      </c>
    </row>
    <row r="5" spans="1:6" x14ac:dyDescent="0.25">
      <c r="A5" s="1">
        <v>5</v>
      </c>
      <c r="B5" s="10">
        <v>209</v>
      </c>
      <c r="C5" s="1">
        <v>2.4E-2</v>
      </c>
      <c r="D5">
        <f t="shared" si="0"/>
        <v>-0.62282456099999994</v>
      </c>
    </row>
    <row r="6" spans="1:6" x14ac:dyDescent="0.25">
      <c r="A6" s="1">
        <v>5</v>
      </c>
      <c r="B6" s="10">
        <v>187</v>
      </c>
      <c r="C6" s="1">
        <v>0.03</v>
      </c>
      <c r="D6">
        <f t="shared" si="0"/>
        <v>-0.61682456099999994</v>
      </c>
    </row>
    <row r="7" spans="1:6" x14ac:dyDescent="0.25">
      <c r="A7" s="1">
        <v>5</v>
      </c>
      <c r="B7" s="10">
        <v>323</v>
      </c>
      <c r="C7" s="1">
        <v>6.6000000000000003E-2</v>
      </c>
      <c r="D7">
        <f t="shared" si="0"/>
        <v>-0.58082456100000002</v>
      </c>
    </row>
    <row r="8" spans="1:6" x14ac:dyDescent="0.25">
      <c r="A8" s="1">
        <v>5</v>
      </c>
      <c r="B8" s="10">
        <v>80</v>
      </c>
      <c r="C8" s="1">
        <v>0.111</v>
      </c>
      <c r="D8">
        <f t="shared" si="0"/>
        <v>-0.53582456099999998</v>
      </c>
    </row>
    <row r="9" spans="1:6" x14ac:dyDescent="0.25">
      <c r="A9" s="1">
        <v>5</v>
      </c>
      <c r="B9" s="10">
        <v>171</v>
      </c>
      <c r="C9" s="1">
        <v>0.122</v>
      </c>
      <c r="D9">
        <f t="shared" si="0"/>
        <v>-0.52482456099999997</v>
      </c>
    </row>
    <row r="10" spans="1:6" x14ac:dyDescent="0.25">
      <c r="A10" s="1">
        <v>5</v>
      </c>
      <c r="B10" s="10">
        <v>49</v>
      </c>
      <c r="C10" s="1">
        <v>0.153</v>
      </c>
      <c r="D10">
        <f t="shared" si="0"/>
        <v>-0.49382456099999994</v>
      </c>
    </row>
    <row r="11" spans="1:6" x14ac:dyDescent="0.25">
      <c r="A11" s="1">
        <v>5</v>
      </c>
      <c r="B11" s="10">
        <v>183</v>
      </c>
      <c r="C11" s="1">
        <v>0.16400000000000001</v>
      </c>
      <c r="D11">
        <f t="shared" si="0"/>
        <v>-0.48282456099999993</v>
      </c>
    </row>
    <row r="12" spans="1:6" x14ac:dyDescent="0.25">
      <c r="A12" s="1">
        <v>5</v>
      </c>
      <c r="B12" s="10">
        <v>64</v>
      </c>
      <c r="C12" s="1">
        <v>0.19500000000000001</v>
      </c>
      <c r="D12">
        <f t="shared" si="0"/>
        <v>-0.45182456099999996</v>
      </c>
    </row>
    <row r="13" spans="1:6" x14ac:dyDescent="0.25">
      <c r="A13" s="1">
        <v>5</v>
      </c>
      <c r="B13" s="10">
        <v>303</v>
      </c>
      <c r="C13" s="1">
        <v>0.20699999999999999</v>
      </c>
      <c r="D13">
        <f t="shared" si="0"/>
        <v>-0.439824561</v>
      </c>
    </row>
    <row r="14" spans="1:6" x14ac:dyDescent="0.25">
      <c r="A14" s="1">
        <v>5</v>
      </c>
      <c r="B14" s="10">
        <v>210</v>
      </c>
      <c r="C14" s="1">
        <v>0.223</v>
      </c>
      <c r="D14">
        <f t="shared" si="0"/>
        <v>-0.42382456099999999</v>
      </c>
    </row>
    <row r="15" spans="1:6" x14ac:dyDescent="0.25">
      <c r="A15" s="1">
        <v>5</v>
      </c>
      <c r="B15" s="10">
        <v>242</v>
      </c>
      <c r="C15" s="1">
        <v>0.23300000000000001</v>
      </c>
      <c r="D15">
        <f t="shared" si="0"/>
        <v>-0.41382456099999998</v>
      </c>
    </row>
    <row r="16" spans="1:6" x14ac:dyDescent="0.25">
      <c r="A16" s="1">
        <v>5</v>
      </c>
      <c r="B16" s="1">
        <v>20</v>
      </c>
      <c r="C16" s="1">
        <v>0.27300000000000002</v>
      </c>
      <c r="D16">
        <f t="shared" si="0"/>
        <v>-0.37382456099999994</v>
      </c>
    </row>
    <row r="17" spans="1:4" x14ac:dyDescent="0.25">
      <c r="A17" s="1">
        <v>5</v>
      </c>
      <c r="B17" s="1">
        <v>197</v>
      </c>
      <c r="C17" s="1">
        <v>0.27500000000000002</v>
      </c>
      <c r="D17">
        <f t="shared" si="0"/>
        <v>-0.37182456099999994</v>
      </c>
    </row>
    <row r="18" spans="1:4" x14ac:dyDescent="0.25">
      <c r="A18" s="1">
        <v>5</v>
      </c>
      <c r="B18" s="1">
        <v>36</v>
      </c>
      <c r="C18" s="1">
        <v>0.28199999999999997</v>
      </c>
      <c r="D18">
        <f t="shared" si="0"/>
        <v>-0.36482456099999999</v>
      </c>
    </row>
    <row r="19" spans="1:4" x14ac:dyDescent="0.25">
      <c r="A19" s="1">
        <v>5</v>
      </c>
      <c r="B19" s="1">
        <v>185</v>
      </c>
      <c r="C19" s="1">
        <v>0.30399999999999999</v>
      </c>
      <c r="D19">
        <f t="shared" si="0"/>
        <v>-0.34282456099999997</v>
      </c>
    </row>
    <row r="20" spans="1:4" x14ac:dyDescent="0.25">
      <c r="A20" s="1">
        <v>5</v>
      </c>
      <c r="B20" s="1">
        <v>67</v>
      </c>
      <c r="C20" s="1">
        <v>0.315</v>
      </c>
      <c r="D20">
        <f t="shared" si="0"/>
        <v>-0.33182456099999996</v>
      </c>
    </row>
    <row r="21" spans="1:4" x14ac:dyDescent="0.25">
      <c r="A21" s="1">
        <v>5</v>
      </c>
      <c r="B21" s="1">
        <v>190</v>
      </c>
      <c r="C21" s="1">
        <v>0.32800000000000001</v>
      </c>
      <c r="D21">
        <f t="shared" si="0"/>
        <v>-0.31882456099999995</v>
      </c>
    </row>
    <row r="22" spans="1:4" x14ac:dyDescent="0.25">
      <c r="A22" s="1">
        <v>5</v>
      </c>
      <c r="B22" s="1">
        <v>311</v>
      </c>
      <c r="C22" s="1">
        <v>0.39600000000000002</v>
      </c>
      <c r="D22">
        <f t="shared" si="0"/>
        <v>-0.25082456099999995</v>
      </c>
    </row>
    <row r="23" spans="1:4" x14ac:dyDescent="0.25">
      <c r="A23" s="1">
        <v>5</v>
      </c>
      <c r="B23" s="1">
        <v>13</v>
      </c>
      <c r="C23" s="1">
        <v>0.42</v>
      </c>
      <c r="D23">
        <f t="shared" si="0"/>
        <v>-0.22682456099999998</v>
      </c>
    </row>
    <row r="24" spans="1:4" x14ac:dyDescent="0.25">
      <c r="A24" s="1">
        <v>5</v>
      </c>
      <c r="B24" s="1">
        <v>11</v>
      </c>
      <c r="C24" s="1">
        <v>0.42499999999999999</v>
      </c>
      <c r="D24">
        <f t="shared" si="0"/>
        <v>-0.22182456099999998</v>
      </c>
    </row>
    <row r="25" spans="1:4" x14ac:dyDescent="0.25">
      <c r="A25" s="1">
        <v>5</v>
      </c>
      <c r="B25" s="1">
        <v>66</v>
      </c>
      <c r="C25" s="1">
        <v>0.42699999999999999</v>
      </c>
      <c r="D25">
        <f t="shared" si="0"/>
        <v>-0.21982456099999997</v>
      </c>
    </row>
    <row r="26" spans="1:4" x14ac:dyDescent="0.25">
      <c r="A26" s="1">
        <v>5</v>
      </c>
      <c r="B26" s="1">
        <v>68</v>
      </c>
      <c r="C26" s="1">
        <v>0.43099999999999999</v>
      </c>
      <c r="D26">
        <f t="shared" si="0"/>
        <v>-0.21582456099999997</v>
      </c>
    </row>
    <row r="27" spans="1:4" x14ac:dyDescent="0.25">
      <c r="A27" s="1">
        <v>5</v>
      </c>
      <c r="B27" s="1">
        <v>184</v>
      </c>
      <c r="C27" s="1">
        <v>0.46600000000000003</v>
      </c>
      <c r="D27">
        <f t="shared" si="0"/>
        <v>-0.18082456099999994</v>
      </c>
    </row>
    <row r="28" spans="1:4" x14ac:dyDescent="0.25">
      <c r="A28" s="1">
        <v>5</v>
      </c>
      <c r="B28" s="1">
        <v>162</v>
      </c>
      <c r="C28" s="1">
        <v>0.47599999999999998</v>
      </c>
      <c r="D28">
        <f t="shared" si="0"/>
        <v>-0.17082456099999999</v>
      </c>
    </row>
    <row r="29" spans="1:4" x14ac:dyDescent="0.25">
      <c r="A29" s="1">
        <v>5</v>
      </c>
      <c r="B29" s="1">
        <v>240</v>
      </c>
      <c r="C29" s="1">
        <v>0.502</v>
      </c>
      <c r="D29">
        <f t="shared" si="0"/>
        <v>-0.14482456099999996</v>
      </c>
    </row>
    <row r="30" spans="1:4" x14ac:dyDescent="0.25">
      <c r="A30" s="1">
        <v>5</v>
      </c>
      <c r="B30" s="1">
        <v>212</v>
      </c>
      <c r="C30" s="1">
        <v>0.51500000000000001</v>
      </c>
      <c r="D30">
        <f t="shared" si="0"/>
        <v>-0.13182456099999995</v>
      </c>
    </row>
    <row r="31" spans="1:4" x14ac:dyDescent="0.25">
      <c r="A31" s="1">
        <v>5</v>
      </c>
      <c r="B31" s="1">
        <v>79</v>
      </c>
      <c r="C31" s="1">
        <v>0.53</v>
      </c>
      <c r="D31">
        <f t="shared" si="0"/>
        <v>-0.11682456099999994</v>
      </c>
    </row>
    <row r="32" spans="1:4" x14ac:dyDescent="0.25">
      <c r="A32" s="1">
        <v>5</v>
      </c>
      <c r="B32" s="1">
        <v>300</v>
      </c>
      <c r="C32" s="1">
        <v>0.58099999999999996</v>
      </c>
      <c r="D32">
        <f t="shared" si="0"/>
        <v>-6.5824561000000004E-2</v>
      </c>
    </row>
    <row r="33" spans="1:4" x14ac:dyDescent="0.25">
      <c r="A33" s="1">
        <v>5</v>
      </c>
      <c r="B33" s="1">
        <v>54</v>
      </c>
      <c r="C33" s="1">
        <v>0.621</v>
      </c>
      <c r="D33">
        <f t="shared" si="0"/>
        <v>-2.5824560999999968E-2</v>
      </c>
    </row>
    <row r="34" spans="1:4" x14ac:dyDescent="0.25">
      <c r="A34" s="1">
        <v>5</v>
      </c>
      <c r="B34" s="1">
        <v>231</v>
      </c>
      <c r="C34" s="1">
        <v>0.67800000000000005</v>
      </c>
      <c r="D34">
        <f t="shared" si="0"/>
        <v>3.1175439000000083E-2</v>
      </c>
    </row>
    <row r="35" spans="1:4" x14ac:dyDescent="0.25">
      <c r="A35" s="1">
        <v>5</v>
      </c>
      <c r="B35" s="1">
        <v>193</v>
      </c>
      <c r="C35" s="1">
        <v>0.70599999999999996</v>
      </c>
      <c r="D35">
        <f t="shared" si="0"/>
        <v>5.9175438999999996E-2</v>
      </c>
    </row>
    <row r="36" spans="1:4" x14ac:dyDescent="0.25">
      <c r="A36" s="1">
        <v>5</v>
      </c>
      <c r="B36" s="1">
        <v>191</v>
      </c>
      <c r="C36" s="1">
        <v>0.71799999999999997</v>
      </c>
      <c r="D36">
        <f t="shared" si="0"/>
        <v>7.1175439000000007E-2</v>
      </c>
    </row>
    <row r="37" spans="1:4" x14ac:dyDescent="0.25">
      <c r="A37" s="1">
        <v>5</v>
      </c>
      <c r="B37" s="1">
        <v>246</v>
      </c>
      <c r="C37" s="1">
        <v>0.73599999999999999</v>
      </c>
      <c r="D37">
        <f t="shared" si="0"/>
        <v>8.9175439000000023E-2</v>
      </c>
    </row>
    <row r="38" spans="1:4" x14ac:dyDescent="0.25">
      <c r="A38" s="1">
        <v>5</v>
      </c>
      <c r="B38" s="1">
        <v>195</v>
      </c>
      <c r="C38" s="1">
        <v>0.75</v>
      </c>
      <c r="D38">
        <f t="shared" si="0"/>
        <v>0.10317543900000004</v>
      </c>
    </row>
    <row r="39" spans="1:4" x14ac:dyDescent="0.25">
      <c r="A39" s="1">
        <v>5</v>
      </c>
      <c r="B39" s="1">
        <v>198</v>
      </c>
      <c r="C39" s="1">
        <v>0.76100000000000001</v>
      </c>
      <c r="D39">
        <f t="shared" si="0"/>
        <v>0.11417543900000005</v>
      </c>
    </row>
    <row r="40" spans="1:4" x14ac:dyDescent="0.25">
      <c r="A40" s="1">
        <v>5</v>
      </c>
      <c r="B40" s="1">
        <v>107</v>
      </c>
      <c r="C40" s="1">
        <v>0.76700000000000002</v>
      </c>
      <c r="D40">
        <f t="shared" si="0"/>
        <v>0.12017543900000005</v>
      </c>
    </row>
    <row r="41" spans="1:4" x14ac:dyDescent="0.25">
      <c r="A41" s="1">
        <v>5</v>
      </c>
      <c r="B41" s="1">
        <v>189</v>
      </c>
      <c r="C41" s="1">
        <v>0.84</v>
      </c>
      <c r="D41">
        <f t="shared" si="0"/>
        <v>0.193175439</v>
      </c>
    </row>
    <row r="42" spans="1:4" x14ac:dyDescent="0.25">
      <c r="A42" s="1">
        <v>5</v>
      </c>
      <c r="B42" s="1">
        <v>133</v>
      </c>
      <c r="C42" s="1">
        <v>0.878</v>
      </c>
      <c r="D42">
        <f t="shared" si="0"/>
        <v>0.23117543900000004</v>
      </c>
    </row>
    <row r="43" spans="1:4" x14ac:dyDescent="0.25">
      <c r="A43" s="1">
        <v>5</v>
      </c>
      <c r="B43" s="1">
        <v>306</v>
      </c>
      <c r="C43" s="1">
        <v>0.92500000000000004</v>
      </c>
      <c r="D43">
        <f t="shared" si="0"/>
        <v>0.27817543900000008</v>
      </c>
    </row>
    <row r="44" spans="1:4" x14ac:dyDescent="0.25">
      <c r="A44" s="1">
        <v>5</v>
      </c>
      <c r="B44" s="1">
        <v>118</v>
      </c>
      <c r="C44" s="1">
        <v>0.96699999999999997</v>
      </c>
      <c r="D44">
        <f t="shared" si="0"/>
        <v>0.32017543900000001</v>
      </c>
    </row>
    <row r="45" spans="1:4" x14ac:dyDescent="0.25">
      <c r="A45" s="1">
        <v>5</v>
      </c>
      <c r="B45" s="10">
        <v>217</v>
      </c>
      <c r="C45" s="1">
        <v>0.99</v>
      </c>
      <c r="D45">
        <f t="shared" si="0"/>
        <v>0.34317543900000003</v>
      </c>
    </row>
    <row r="46" spans="1:4" x14ac:dyDescent="0.25">
      <c r="A46" s="1">
        <v>5</v>
      </c>
      <c r="B46" s="10">
        <v>188</v>
      </c>
      <c r="C46" s="1">
        <v>1.018</v>
      </c>
      <c r="D46">
        <f t="shared" si="0"/>
        <v>0.37117543900000005</v>
      </c>
    </row>
    <row r="47" spans="1:4" x14ac:dyDescent="0.25">
      <c r="A47" s="1">
        <v>5</v>
      </c>
      <c r="B47" s="10">
        <v>141</v>
      </c>
      <c r="C47" s="1">
        <v>1.0920000000000001</v>
      </c>
      <c r="D47">
        <f t="shared" si="0"/>
        <v>0.44517543900000012</v>
      </c>
    </row>
    <row r="48" spans="1:4" x14ac:dyDescent="0.25">
      <c r="A48" s="1">
        <v>5</v>
      </c>
      <c r="B48" s="10">
        <v>15</v>
      </c>
      <c r="C48" s="1">
        <v>1.1080000000000001</v>
      </c>
      <c r="D48">
        <f t="shared" si="0"/>
        <v>0.46117543900000013</v>
      </c>
    </row>
    <row r="49" spans="1:4" x14ac:dyDescent="0.25">
      <c r="A49" s="1">
        <v>5</v>
      </c>
      <c r="B49" s="10">
        <v>205</v>
      </c>
      <c r="C49" s="1">
        <v>1.143</v>
      </c>
      <c r="D49">
        <f t="shared" si="0"/>
        <v>0.49617543900000005</v>
      </c>
    </row>
    <row r="50" spans="1:4" x14ac:dyDescent="0.25">
      <c r="A50" s="1">
        <v>5</v>
      </c>
      <c r="B50" s="10">
        <v>292</v>
      </c>
      <c r="C50" s="1">
        <v>1.2010000000000001</v>
      </c>
      <c r="D50">
        <f t="shared" si="0"/>
        <v>0.5541754390000001</v>
      </c>
    </row>
    <row r="51" spans="1:4" x14ac:dyDescent="0.25">
      <c r="A51" s="1">
        <v>5</v>
      </c>
      <c r="B51" s="10">
        <v>253</v>
      </c>
      <c r="C51" s="1">
        <v>1.2749999999999999</v>
      </c>
      <c r="D51">
        <f t="shared" si="0"/>
        <v>0.62817543899999995</v>
      </c>
    </row>
    <row r="52" spans="1:4" x14ac:dyDescent="0.25">
      <c r="A52" s="1">
        <v>5</v>
      </c>
      <c r="B52" s="10">
        <v>175</v>
      </c>
      <c r="C52" s="1">
        <v>1.3779999999999999</v>
      </c>
      <c r="D52">
        <f t="shared" si="0"/>
        <v>0.73117543899999993</v>
      </c>
    </row>
    <row r="53" spans="1:4" x14ac:dyDescent="0.25">
      <c r="A53" s="1">
        <v>5</v>
      </c>
      <c r="B53" s="10">
        <v>25</v>
      </c>
      <c r="C53" s="1">
        <v>1.5029999999999999</v>
      </c>
      <c r="D53">
        <f t="shared" si="0"/>
        <v>0.85617543899999993</v>
      </c>
    </row>
    <row r="54" spans="1:4" x14ac:dyDescent="0.25">
      <c r="A54" s="1">
        <v>5</v>
      </c>
      <c r="B54" s="10">
        <v>302</v>
      </c>
      <c r="C54" s="1">
        <v>1.6080000000000001</v>
      </c>
      <c r="D54">
        <f t="shared" si="0"/>
        <v>0.96117543900000013</v>
      </c>
    </row>
    <row r="55" spans="1:4" x14ac:dyDescent="0.25">
      <c r="A55" s="1">
        <v>5</v>
      </c>
      <c r="B55" s="10">
        <v>328</v>
      </c>
      <c r="C55" s="1">
        <v>1.6459999999999999</v>
      </c>
      <c r="D55">
        <f t="shared" si="0"/>
        <v>0.99917543899999994</v>
      </c>
    </row>
    <row r="56" spans="1:4" x14ac:dyDescent="0.25">
      <c r="A56" s="1">
        <v>5</v>
      </c>
      <c r="B56" s="10">
        <v>29</v>
      </c>
      <c r="C56" s="1">
        <v>1.6619999999999999</v>
      </c>
      <c r="D56">
        <f t="shared" si="0"/>
        <v>1.0151754390000001</v>
      </c>
    </row>
    <row r="57" spans="1:4" x14ac:dyDescent="0.25">
      <c r="A57" s="1">
        <v>5</v>
      </c>
      <c r="B57" s="10">
        <v>177</v>
      </c>
      <c r="C57" s="1">
        <v>1.679</v>
      </c>
      <c r="D57">
        <f t="shared" si="0"/>
        <v>1.032175439</v>
      </c>
    </row>
    <row r="58" spans="1:4" x14ac:dyDescent="0.25">
      <c r="A58" s="1">
        <v>5</v>
      </c>
      <c r="B58" s="10">
        <v>3</v>
      </c>
      <c r="C58" s="1">
        <v>1.718</v>
      </c>
      <c r="D58">
        <f t="shared" si="0"/>
        <v>1.0711754390000001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defaultColWidth="10.75"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1.2E-2</v>
      </c>
      <c r="C2">
        <v>0.1925</v>
      </c>
      <c r="D2">
        <v>0.48449999999999999</v>
      </c>
      <c r="E2">
        <v>0.73050000000000004</v>
      </c>
      <c r="F2">
        <v>3.383</v>
      </c>
    </row>
    <row r="3" spans="1:6" x14ac:dyDescent="0.25">
      <c r="A3">
        <v>2</v>
      </c>
      <c r="B3">
        <v>3.0000000000000001E-3</v>
      </c>
      <c r="C3">
        <v>0.20200000000000001</v>
      </c>
      <c r="D3">
        <v>0.51800000000000002</v>
      </c>
      <c r="E3">
        <v>1.101</v>
      </c>
      <c r="F3">
        <v>2.101</v>
      </c>
    </row>
    <row r="4" spans="1:6" x14ac:dyDescent="0.25">
      <c r="A4">
        <v>3</v>
      </c>
      <c r="B4">
        <v>1E-3</v>
      </c>
      <c r="C4">
        <v>0.14249999999999999</v>
      </c>
      <c r="D4">
        <v>0.46550000000000002</v>
      </c>
      <c r="E4">
        <v>0.90300000000000002</v>
      </c>
      <c r="F4">
        <v>2.1739999999999999</v>
      </c>
    </row>
    <row r="5" spans="1:6" x14ac:dyDescent="0.25">
      <c r="A5">
        <v>4</v>
      </c>
      <c r="B5">
        <v>8.9999999999999993E-3</v>
      </c>
      <c r="C5">
        <v>0.13175000000000001</v>
      </c>
      <c r="D5">
        <v>0.55049999999999999</v>
      </c>
      <c r="E5">
        <v>1.0002500000000001</v>
      </c>
      <c r="F5">
        <v>2.0129999999999999</v>
      </c>
    </row>
    <row r="6" spans="1:6" x14ac:dyDescent="0.25">
      <c r="A6">
        <v>5</v>
      </c>
      <c r="B6">
        <v>2E-3</v>
      </c>
      <c r="C6">
        <v>0.27300000000000002</v>
      </c>
      <c r="D6">
        <v>0.51500000000000001</v>
      </c>
      <c r="E6">
        <v>0.96699999999999997</v>
      </c>
      <c r="F6">
        <v>1.718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7"/>
  <sheetViews>
    <sheetView workbookViewId="0">
      <selection activeCell="C9" sqref="C9"/>
    </sheetView>
  </sheetViews>
  <sheetFormatPr defaultColWidth="10.75" defaultRowHeight="15.75" x14ac:dyDescent="0.25"/>
  <cols>
    <col min="1" max="2" width="10.75" style="2"/>
    <col min="3" max="3" width="17" style="2" customWidth="1"/>
    <col min="4" max="4" width="10.75" style="2"/>
    <col min="5" max="5" width="16" style="2" customWidth="1"/>
  </cols>
  <sheetData>
    <row r="1" spans="1:6" x14ac:dyDescent="0.25">
      <c r="A1" s="6" t="s">
        <v>0</v>
      </c>
      <c r="B1" s="6" t="s">
        <v>6</v>
      </c>
      <c r="C1" s="6" t="s">
        <v>11</v>
      </c>
      <c r="D1" s="6" t="s">
        <v>7</v>
      </c>
      <c r="E1" s="6" t="s">
        <v>10</v>
      </c>
      <c r="F1" s="6" t="s">
        <v>12</v>
      </c>
    </row>
    <row r="2" spans="1:6" x14ac:dyDescent="0.25">
      <c r="A2" s="3">
        <v>3</v>
      </c>
      <c r="B2" s="3">
        <v>117</v>
      </c>
      <c r="C2" s="2">
        <v>42.4</v>
      </c>
      <c r="D2" s="3">
        <v>1E-3</v>
      </c>
      <c r="E2" s="5">
        <v>-0.61709999999999998</v>
      </c>
      <c r="F2">
        <v>16</v>
      </c>
    </row>
    <row r="3" spans="1:6" x14ac:dyDescent="0.25">
      <c r="A3" s="3">
        <v>5</v>
      </c>
      <c r="B3" s="3">
        <v>169</v>
      </c>
      <c r="C3" s="2">
        <v>28.2</v>
      </c>
      <c r="D3" s="3">
        <v>2E-3</v>
      </c>
      <c r="E3" s="5">
        <v>-0.64482456099999996</v>
      </c>
      <c r="F3">
        <v>5</v>
      </c>
    </row>
    <row r="4" spans="1:6" x14ac:dyDescent="0.25">
      <c r="A4" s="3">
        <v>2</v>
      </c>
      <c r="B4" s="3">
        <v>96</v>
      </c>
      <c r="C4" s="4">
        <v>6.6</v>
      </c>
      <c r="D4" s="3">
        <v>3.0000000000000001E-3</v>
      </c>
      <c r="E4" s="5">
        <v>-0.68484210499999998</v>
      </c>
      <c r="F4">
        <v>1</v>
      </c>
    </row>
    <row r="5" spans="1:6" x14ac:dyDescent="0.25">
      <c r="A5" s="3">
        <v>5</v>
      </c>
      <c r="B5" s="3">
        <v>211</v>
      </c>
      <c r="C5" s="2">
        <v>21.8</v>
      </c>
      <c r="D5" s="3">
        <v>4.0000000000000001E-3</v>
      </c>
      <c r="E5" s="5">
        <v>-0.64282456099999996</v>
      </c>
      <c r="F5">
        <v>7</v>
      </c>
    </row>
    <row r="6" spans="1:6" x14ac:dyDescent="0.25">
      <c r="A6" s="3">
        <v>4</v>
      </c>
      <c r="B6" s="3">
        <v>320</v>
      </c>
      <c r="C6" s="2">
        <v>65.8</v>
      </c>
      <c r="D6" s="3">
        <v>8.9999999999999993E-3</v>
      </c>
      <c r="E6" s="5">
        <v>-0.63051428600000003</v>
      </c>
      <c r="F6">
        <v>11</v>
      </c>
    </row>
    <row r="7" spans="1:6" x14ac:dyDescent="0.25">
      <c r="A7" s="3">
        <v>2</v>
      </c>
      <c r="B7" s="3">
        <v>263</v>
      </c>
      <c r="C7" s="2">
        <v>36.799999999999997</v>
      </c>
      <c r="D7" s="3">
        <v>0.01</v>
      </c>
      <c r="E7" s="5">
        <v>-0.67784210499999997</v>
      </c>
      <c r="F7">
        <v>2</v>
      </c>
    </row>
    <row r="8" spans="1:6" x14ac:dyDescent="0.25">
      <c r="A8" s="3">
        <v>1</v>
      </c>
      <c r="B8" s="3">
        <v>255</v>
      </c>
      <c r="C8" s="2">
        <v>39.799999999999997</v>
      </c>
      <c r="D8" s="3">
        <v>1.2E-2</v>
      </c>
      <c r="E8" s="5">
        <v>-0.57370270300000004</v>
      </c>
      <c r="F8">
        <v>34</v>
      </c>
    </row>
    <row r="9" spans="1:6" x14ac:dyDescent="0.25">
      <c r="A9" s="3">
        <v>4</v>
      </c>
      <c r="B9" s="3">
        <v>149</v>
      </c>
      <c r="C9" s="2">
        <v>30.2</v>
      </c>
      <c r="D9" s="3">
        <v>1.6E-2</v>
      </c>
      <c r="E9" s="5">
        <v>-0.62351428600000003</v>
      </c>
      <c r="F9">
        <v>13</v>
      </c>
    </row>
    <row r="10" spans="1:6" x14ac:dyDescent="0.25">
      <c r="A10" s="3">
        <v>4</v>
      </c>
      <c r="B10" s="3">
        <v>123</v>
      </c>
      <c r="C10" s="2">
        <v>31.4</v>
      </c>
      <c r="D10" s="3">
        <v>1.7999999999999999E-2</v>
      </c>
      <c r="E10" s="5">
        <v>-0.62151428600000003</v>
      </c>
      <c r="F10">
        <v>15</v>
      </c>
    </row>
    <row r="11" spans="1:6" x14ac:dyDescent="0.25">
      <c r="A11" s="3">
        <v>5</v>
      </c>
      <c r="B11" s="3">
        <v>92</v>
      </c>
      <c r="C11" s="2">
        <v>37.200000000000003</v>
      </c>
      <c r="D11" s="3">
        <v>2.1000000000000001E-2</v>
      </c>
      <c r="E11" s="5">
        <v>-0.62582456099999995</v>
      </c>
      <c r="F11">
        <v>12</v>
      </c>
    </row>
    <row r="12" spans="1:6" x14ac:dyDescent="0.25">
      <c r="A12" s="3">
        <v>2</v>
      </c>
      <c r="B12" s="3">
        <v>267</v>
      </c>
      <c r="C12" s="2">
        <v>73.599999999999994</v>
      </c>
      <c r="D12" s="3">
        <v>2.1999999999999999E-2</v>
      </c>
      <c r="E12" s="5">
        <v>-0.66584210499999996</v>
      </c>
      <c r="F12">
        <v>3</v>
      </c>
    </row>
    <row r="13" spans="1:6" x14ac:dyDescent="0.25">
      <c r="A13" s="3">
        <v>2</v>
      </c>
      <c r="B13" s="3">
        <v>304</v>
      </c>
      <c r="C13" s="2">
        <v>64.2</v>
      </c>
      <c r="D13" s="3">
        <v>2.3E-2</v>
      </c>
      <c r="E13" s="5">
        <v>-0.66484210499999996</v>
      </c>
      <c r="F13">
        <v>4</v>
      </c>
    </row>
    <row r="14" spans="1:6" x14ac:dyDescent="0.25">
      <c r="A14" s="3">
        <v>5</v>
      </c>
      <c r="B14" s="15">
        <v>209</v>
      </c>
      <c r="C14" s="2">
        <v>89.6</v>
      </c>
      <c r="D14" s="3">
        <v>2.4E-2</v>
      </c>
      <c r="E14" s="5">
        <v>-0.62282456099999994</v>
      </c>
      <c r="F14">
        <v>14</v>
      </c>
    </row>
    <row r="15" spans="1:6" x14ac:dyDescent="0.25">
      <c r="A15" s="3">
        <v>3</v>
      </c>
      <c r="B15" s="3">
        <v>159</v>
      </c>
      <c r="C15" s="2">
        <v>39.799999999999997</v>
      </c>
      <c r="D15" s="3">
        <v>2.5000000000000001E-2</v>
      </c>
      <c r="E15" s="5">
        <v>-0.59309999999999996</v>
      </c>
      <c r="F15">
        <v>25</v>
      </c>
    </row>
    <row r="16" spans="1:6" x14ac:dyDescent="0.25">
      <c r="A16" s="3">
        <v>1</v>
      </c>
      <c r="B16" s="3">
        <v>277</v>
      </c>
      <c r="C16" s="2">
        <v>49.2</v>
      </c>
      <c r="D16" s="3">
        <v>2.7E-2</v>
      </c>
      <c r="E16" s="5">
        <v>-0.55870270300000002</v>
      </c>
      <c r="F16">
        <v>41</v>
      </c>
    </row>
    <row r="17" spans="1:6" x14ac:dyDescent="0.25">
      <c r="A17" s="3">
        <v>5</v>
      </c>
      <c r="B17" s="3">
        <v>187</v>
      </c>
      <c r="C17" s="2">
        <v>43.2</v>
      </c>
      <c r="D17" s="3">
        <v>0.03</v>
      </c>
      <c r="E17" s="5">
        <v>-0.61682456099999994</v>
      </c>
      <c r="F17">
        <v>17</v>
      </c>
    </row>
    <row r="18" spans="1:6" x14ac:dyDescent="0.25">
      <c r="A18" s="3">
        <v>1</v>
      </c>
      <c r="B18" s="3">
        <v>147</v>
      </c>
      <c r="C18" s="2">
        <v>27.8</v>
      </c>
      <c r="D18" s="3">
        <v>3.1E-2</v>
      </c>
      <c r="E18" s="5">
        <v>-0.55470270300000002</v>
      </c>
      <c r="F18">
        <v>43</v>
      </c>
    </row>
    <row r="19" spans="1:6" x14ac:dyDescent="0.25">
      <c r="A19" s="3">
        <v>4</v>
      </c>
      <c r="B19" s="3">
        <v>214</v>
      </c>
      <c r="C19" s="4" t="s">
        <v>8</v>
      </c>
      <c r="D19" s="3">
        <v>3.1E-2</v>
      </c>
      <c r="E19" s="5">
        <v>-0.60851428600000002</v>
      </c>
      <c r="F19">
        <v>19</v>
      </c>
    </row>
    <row r="20" spans="1:6" x14ac:dyDescent="0.25">
      <c r="A20" s="3">
        <v>1</v>
      </c>
      <c r="B20" s="3">
        <v>45</v>
      </c>
      <c r="C20" s="4">
        <v>14.6</v>
      </c>
      <c r="D20" s="3">
        <v>3.4000000000000002E-2</v>
      </c>
      <c r="E20" s="5">
        <v>-0.55170270300000002</v>
      </c>
      <c r="F20">
        <v>44</v>
      </c>
    </row>
    <row r="21" spans="1:6" x14ac:dyDescent="0.25">
      <c r="A21" s="3">
        <v>4</v>
      </c>
      <c r="B21" s="3">
        <v>234</v>
      </c>
      <c r="C21" s="2">
        <v>66.599999999999994</v>
      </c>
      <c r="D21" s="3">
        <v>3.4000000000000002E-2</v>
      </c>
      <c r="E21" s="5">
        <v>-0.60551428600000001</v>
      </c>
      <c r="F21">
        <v>20</v>
      </c>
    </row>
    <row r="22" spans="1:6" x14ac:dyDescent="0.25">
      <c r="A22" s="3">
        <v>3</v>
      </c>
      <c r="B22" s="3">
        <v>297</v>
      </c>
      <c r="C22" s="2">
        <v>94</v>
      </c>
      <c r="D22" s="3">
        <v>3.4000000000000002E-2</v>
      </c>
      <c r="E22" s="5">
        <v>-0.58409999999999995</v>
      </c>
      <c r="F22">
        <v>31</v>
      </c>
    </row>
    <row r="23" spans="1:6" x14ac:dyDescent="0.25">
      <c r="A23" s="3">
        <v>4</v>
      </c>
      <c r="B23" s="3">
        <v>165</v>
      </c>
      <c r="C23" s="4">
        <v>14.8</v>
      </c>
      <c r="D23" s="3">
        <v>3.5999999999999997E-2</v>
      </c>
      <c r="E23" s="5">
        <v>-0.60351428600000001</v>
      </c>
      <c r="F23">
        <v>21</v>
      </c>
    </row>
    <row r="24" spans="1:6" x14ac:dyDescent="0.25">
      <c r="A24" s="3">
        <v>4</v>
      </c>
      <c r="B24" s="3">
        <v>247</v>
      </c>
      <c r="C24" s="2">
        <v>31.2</v>
      </c>
      <c r="D24" s="3">
        <v>0.04</v>
      </c>
      <c r="E24" s="5">
        <v>-0.59951428600000001</v>
      </c>
      <c r="F24">
        <v>22</v>
      </c>
    </row>
    <row r="25" spans="1:6" x14ac:dyDescent="0.25">
      <c r="A25" s="3">
        <v>3</v>
      </c>
      <c r="B25" s="3">
        <v>157</v>
      </c>
      <c r="C25" s="2">
        <v>36</v>
      </c>
      <c r="D25" s="3">
        <v>4.1000000000000002E-2</v>
      </c>
      <c r="E25" s="5">
        <v>-0.57709999999999995</v>
      </c>
      <c r="F25">
        <v>33</v>
      </c>
    </row>
    <row r="26" spans="1:6" x14ac:dyDescent="0.25">
      <c r="A26" s="3">
        <v>4</v>
      </c>
      <c r="B26" s="3">
        <v>125</v>
      </c>
      <c r="C26" s="2">
        <v>19.899999999999999</v>
      </c>
      <c r="D26" s="3">
        <v>4.3999999999999997E-2</v>
      </c>
      <c r="E26" s="5">
        <v>-0.595514286</v>
      </c>
      <c r="F26">
        <v>23</v>
      </c>
    </row>
    <row r="27" spans="1:6" x14ac:dyDescent="0.25">
      <c r="A27" s="3">
        <v>2</v>
      </c>
      <c r="B27" s="3">
        <v>110</v>
      </c>
      <c r="C27" s="2">
        <v>31.6</v>
      </c>
      <c r="D27" s="3">
        <v>4.4999999999999998E-2</v>
      </c>
      <c r="E27" s="5">
        <v>-0.64284210499999994</v>
      </c>
      <c r="F27">
        <v>6</v>
      </c>
    </row>
    <row r="28" spans="1:6" x14ac:dyDescent="0.25">
      <c r="A28" s="3">
        <v>1</v>
      </c>
      <c r="B28" s="3">
        <v>24</v>
      </c>
      <c r="C28" s="2">
        <v>44.8</v>
      </c>
      <c r="D28" s="3">
        <v>4.8000000000000001E-2</v>
      </c>
      <c r="E28" s="5">
        <v>-0.537702703</v>
      </c>
      <c r="F28">
        <v>51</v>
      </c>
    </row>
    <row r="29" spans="1:6" x14ac:dyDescent="0.25">
      <c r="A29" s="3">
        <v>2</v>
      </c>
      <c r="B29" s="3">
        <v>17</v>
      </c>
      <c r="C29" s="2">
        <v>31.4</v>
      </c>
      <c r="D29" s="3">
        <v>5.0999999999999997E-2</v>
      </c>
      <c r="E29" s="5">
        <v>-0.63684210499999994</v>
      </c>
      <c r="F29">
        <v>8</v>
      </c>
    </row>
    <row r="30" spans="1:6" x14ac:dyDescent="0.25">
      <c r="A30" s="3">
        <v>3</v>
      </c>
      <c r="B30" s="3">
        <v>135</v>
      </c>
      <c r="C30" s="4">
        <v>8.16</v>
      </c>
      <c r="D30" s="3">
        <v>5.0999999999999997E-2</v>
      </c>
      <c r="E30" s="5">
        <v>-0.56709999999999994</v>
      </c>
      <c r="F30">
        <v>37</v>
      </c>
    </row>
    <row r="31" spans="1:6" x14ac:dyDescent="0.25">
      <c r="A31" s="3">
        <v>4</v>
      </c>
      <c r="B31" s="3">
        <v>203</v>
      </c>
      <c r="C31" s="2">
        <v>52.4</v>
      </c>
      <c r="D31" s="3">
        <v>5.0999999999999997E-2</v>
      </c>
      <c r="E31" s="5">
        <v>-0.588514286</v>
      </c>
      <c r="F31">
        <v>29</v>
      </c>
    </row>
    <row r="32" spans="1:6" x14ac:dyDescent="0.25">
      <c r="A32" s="3">
        <v>2</v>
      </c>
      <c r="B32" s="3">
        <v>282</v>
      </c>
      <c r="C32" s="2">
        <v>51.2</v>
      </c>
      <c r="D32" s="3">
        <v>5.2999999999999999E-2</v>
      </c>
      <c r="E32" s="5">
        <v>-0.63484210499999993</v>
      </c>
      <c r="F32">
        <v>9</v>
      </c>
    </row>
    <row r="33" spans="1:6" x14ac:dyDescent="0.25">
      <c r="A33" s="3">
        <v>3</v>
      </c>
      <c r="B33" s="3">
        <v>163</v>
      </c>
      <c r="C33" s="4">
        <v>18.7</v>
      </c>
      <c r="D33" s="3">
        <v>5.3999999999999999E-2</v>
      </c>
      <c r="E33" s="5">
        <v>-0.56409999999999993</v>
      </c>
      <c r="F33">
        <v>38</v>
      </c>
    </row>
    <row r="34" spans="1:6" x14ac:dyDescent="0.25">
      <c r="A34" s="3">
        <v>4</v>
      </c>
      <c r="B34" s="3">
        <v>296</v>
      </c>
      <c r="C34" s="2">
        <v>43.6</v>
      </c>
      <c r="D34" s="3">
        <v>5.5E-2</v>
      </c>
      <c r="E34" s="5">
        <v>-0.58451428599999999</v>
      </c>
      <c r="F34">
        <v>30</v>
      </c>
    </row>
    <row r="35" spans="1:6" x14ac:dyDescent="0.25">
      <c r="A35" s="3">
        <v>2</v>
      </c>
      <c r="B35" s="3">
        <v>101</v>
      </c>
      <c r="C35" s="2">
        <v>25.6</v>
      </c>
      <c r="D35" s="3">
        <v>5.7000000000000002E-2</v>
      </c>
      <c r="E35" s="5">
        <v>-0.63084210499999993</v>
      </c>
      <c r="F35">
        <v>10</v>
      </c>
    </row>
    <row r="36" spans="1:6" x14ac:dyDescent="0.25">
      <c r="A36" s="3">
        <v>3</v>
      </c>
      <c r="B36" s="3">
        <v>160</v>
      </c>
      <c r="C36" s="2">
        <v>43.2</v>
      </c>
      <c r="D36" s="3">
        <v>5.7000000000000002E-2</v>
      </c>
      <c r="E36" s="5">
        <v>-0.56109999999999993</v>
      </c>
      <c r="F36">
        <v>40</v>
      </c>
    </row>
    <row r="37" spans="1:6" x14ac:dyDescent="0.25">
      <c r="A37" s="3">
        <v>1</v>
      </c>
      <c r="B37" s="3">
        <v>121</v>
      </c>
      <c r="C37" s="2">
        <v>75.8</v>
      </c>
      <c r="D37" s="3">
        <v>6.3E-2</v>
      </c>
      <c r="E37" s="5">
        <v>-0.52270270299999999</v>
      </c>
      <c r="F37">
        <v>54</v>
      </c>
    </row>
    <row r="38" spans="1:6" x14ac:dyDescent="0.25">
      <c r="A38" s="3">
        <v>3</v>
      </c>
      <c r="B38" s="3">
        <v>174</v>
      </c>
      <c r="C38" s="2">
        <v>52</v>
      </c>
      <c r="D38" s="3">
        <v>6.3E-2</v>
      </c>
      <c r="E38" s="5">
        <v>-0.55509999999999993</v>
      </c>
      <c r="F38">
        <v>42</v>
      </c>
    </row>
    <row r="39" spans="1:6" x14ac:dyDescent="0.25">
      <c r="A39" s="3">
        <v>5</v>
      </c>
      <c r="B39" s="3">
        <v>323</v>
      </c>
      <c r="C39" s="2">
        <v>57.4</v>
      </c>
      <c r="D39" s="3">
        <v>6.6000000000000003E-2</v>
      </c>
      <c r="E39" s="5">
        <v>-0.58082456100000002</v>
      </c>
      <c r="F39">
        <v>32</v>
      </c>
    </row>
    <row r="40" spans="1:6" x14ac:dyDescent="0.25">
      <c r="A40" s="3">
        <v>4</v>
      </c>
      <c r="B40" s="3">
        <v>243</v>
      </c>
      <c r="C40" s="2">
        <v>35</v>
      </c>
      <c r="D40" s="3">
        <v>6.7000000000000004E-2</v>
      </c>
      <c r="E40" s="5">
        <v>-0.57251428600000009</v>
      </c>
      <c r="F40">
        <v>35</v>
      </c>
    </row>
    <row r="41" spans="1:6" x14ac:dyDescent="0.25">
      <c r="A41" s="3">
        <v>1</v>
      </c>
      <c r="B41" s="3">
        <v>270</v>
      </c>
      <c r="C41" s="2">
        <v>93.4</v>
      </c>
      <c r="D41" s="3">
        <v>6.9000000000000006E-2</v>
      </c>
      <c r="E41" s="5">
        <v>-0.51670270299999999</v>
      </c>
      <c r="F41">
        <v>56</v>
      </c>
    </row>
    <row r="42" spans="1:6" x14ac:dyDescent="0.25">
      <c r="A42" s="3">
        <v>2</v>
      </c>
      <c r="B42" s="3">
        <v>329</v>
      </c>
      <c r="C42" s="2">
        <v>39.6</v>
      </c>
      <c r="D42" s="3">
        <v>7.5999999999999998E-2</v>
      </c>
      <c r="E42" s="5">
        <v>-0.61184210500000002</v>
      </c>
      <c r="F42">
        <v>18</v>
      </c>
    </row>
    <row r="43" spans="1:6" x14ac:dyDescent="0.25">
      <c r="A43" s="3">
        <v>4</v>
      </c>
      <c r="B43" s="3">
        <v>196</v>
      </c>
      <c r="C43" s="2">
        <v>51.8</v>
      </c>
      <c r="D43" s="3">
        <v>7.8E-2</v>
      </c>
      <c r="E43" s="5">
        <v>-0.56151428600000008</v>
      </c>
      <c r="F43">
        <v>39</v>
      </c>
    </row>
    <row r="44" spans="1:6" x14ac:dyDescent="0.25">
      <c r="A44" s="3">
        <v>3</v>
      </c>
      <c r="B44" s="3">
        <v>109</v>
      </c>
      <c r="C44" s="2">
        <v>32</v>
      </c>
      <c r="D44" s="3">
        <v>0.08</v>
      </c>
      <c r="E44" s="5">
        <v>-0.53810000000000002</v>
      </c>
      <c r="F44">
        <v>50</v>
      </c>
    </row>
    <row r="45" spans="1:6" x14ac:dyDescent="0.25">
      <c r="A45" s="3">
        <v>1</v>
      </c>
      <c r="B45" s="3">
        <v>40</v>
      </c>
      <c r="C45" s="4">
        <v>16.600000000000001</v>
      </c>
      <c r="D45" s="3">
        <v>8.5000000000000006E-2</v>
      </c>
      <c r="E45" s="5">
        <v>-0.50070270300000008</v>
      </c>
      <c r="F45">
        <v>58</v>
      </c>
    </row>
    <row r="46" spans="1:6" x14ac:dyDescent="0.25">
      <c r="A46" s="3">
        <v>1</v>
      </c>
      <c r="B46" s="3">
        <v>288</v>
      </c>
      <c r="C46" s="2">
        <v>44.4</v>
      </c>
      <c r="D46" s="3">
        <v>8.5000000000000006E-2</v>
      </c>
      <c r="E46" s="5">
        <v>-0.50070270300000008</v>
      </c>
      <c r="F46">
        <v>59</v>
      </c>
    </row>
    <row r="47" spans="1:6" x14ac:dyDescent="0.25">
      <c r="A47" s="3">
        <v>1</v>
      </c>
      <c r="B47" s="15">
        <v>113</v>
      </c>
      <c r="C47" s="2">
        <v>48.8</v>
      </c>
      <c r="D47" s="3">
        <v>8.6999999999999994E-2</v>
      </c>
      <c r="E47" s="5">
        <v>-0.49870270300000008</v>
      </c>
      <c r="F47">
        <v>60</v>
      </c>
    </row>
    <row r="48" spans="1:6" x14ac:dyDescent="0.25">
      <c r="A48" s="3">
        <v>4</v>
      </c>
      <c r="B48" s="3">
        <v>138</v>
      </c>
      <c r="C48" s="2">
        <v>42</v>
      </c>
      <c r="D48" s="3">
        <v>8.7999999999999995E-2</v>
      </c>
      <c r="E48" s="5">
        <v>-0.55151428600000008</v>
      </c>
      <c r="F48">
        <v>45</v>
      </c>
    </row>
    <row r="49" spans="1:6" x14ac:dyDescent="0.25">
      <c r="A49" s="3">
        <v>4</v>
      </c>
      <c r="B49" s="3">
        <v>52</v>
      </c>
      <c r="C49" s="2">
        <v>25.8</v>
      </c>
      <c r="D49" s="3">
        <v>0.09</v>
      </c>
      <c r="E49" s="5">
        <v>-0.54951428600000007</v>
      </c>
      <c r="F49">
        <v>46</v>
      </c>
    </row>
    <row r="50" spans="1:6" x14ac:dyDescent="0.25">
      <c r="A50" s="3">
        <v>4</v>
      </c>
      <c r="B50" s="3">
        <v>186</v>
      </c>
      <c r="C50" s="2">
        <v>44.2</v>
      </c>
      <c r="D50" s="3">
        <v>0.09</v>
      </c>
      <c r="E50" s="5">
        <v>-0.54951428600000007</v>
      </c>
      <c r="F50">
        <v>47</v>
      </c>
    </row>
    <row r="51" spans="1:6" x14ac:dyDescent="0.25">
      <c r="A51" s="3">
        <v>2</v>
      </c>
      <c r="B51" s="3">
        <v>58</v>
      </c>
      <c r="C51" s="2">
        <v>40.6</v>
      </c>
      <c r="D51" s="3">
        <v>9.2999999999999999E-2</v>
      </c>
      <c r="E51" s="5">
        <v>-0.59484210500000001</v>
      </c>
      <c r="F51">
        <v>24</v>
      </c>
    </row>
    <row r="52" spans="1:6" x14ac:dyDescent="0.25">
      <c r="A52" s="3">
        <v>4</v>
      </c>
      <c r="B52" s="3">
        <v>34</v>
      </c>
      <c r="C52" s="4">
        <v>15.2</v>
      </c>
      <c r="D52" s="3">
        <v>9.6000000000000002E-2</v>
      </c>
      <c r="E52" s="5">
        <v>-0.54351428600000007</v>
      </c>
      <c r="F52">
        <v>48</v>
      </c>
    </row>
    <row r="53" spans="1:6" x14ac:dyDescent="0.25">
      <c r="A53" s="3">
        <v>2</v>
      </c>
      <c r="B53" s="3">
        <v>170</v>
      </c>
      <c r="C53" s="2">
        <v>42.4</v>
      </c>
      <c r="D53" s="3">
        <v>9.6000000000000002E-2</v>
      </c>
      <c r="E53" s="5">
        <v>-0.59184210500000001</v>
      </c>
      <c r="F53">
        <v>26</v>
      </c>
    </row>
    <row r="54" spans="1:6" x14ac:dyDescent="0.25">
      <c r="A54" s="3">
        <v>1</v>
      </c>
      <c r="B54" s="3">
        <v>287</v>
      </c>
      <c r="C54" s="2">
        <v>110</v>
      </c>
      <c r="D54" s="3">
        <v>9.7000000000000003E-2</v>
      </c>
      <c r="E54" s="5">
        <v>-0.48870270300000007</v>
      </c>
      <c r="F54">
        <v>64</v>
      </c>
    </row>
    <row r="55" spans="1:6" x14ac:dyDescent="0.25">
      <c r="A55" s="3">
        <v>2</v>
      </c>
      <c r="B55" s="3">
        <v>53</v>
      </c>
      <c r="C55" s="2">
        <v>27.6</v>
      </c>
      <c r="D55" s="3">
        <v>9.8000000000000004E-2</v>
      </c>
      <c r="E55" s="5">
        <v>-0.58984210500000001</v>
      </c>
      <c r="F55">
        <v>27</v>
      </c>
    </row>
    <row r="56" spans="1:6" x14ac:dyDescent="0.25">
      <c r="A56" s="3">
        <v>2</v>
      </c>
      <c r="B56" s="3">
        <v>57</v>
      </c>
      <c r="C56" s="2">
        <v>43</v>
      </c>
      <c r="D56" s="3">
        <v>9.9000000000000005E-2</v>
      </c>
      <c r="E56" s="5">
        <v>-0.588842105</v>
      </c>
      <c r="F56">
        <v>28</v>
      </c>
    </row>
    <row r="57" spans="1:6" x14ac:dyDescent="0.25">
      <c r="A57" s="3">
        <v>4</v>
      </c>
      <c r="B57" s="3">
        <v>150</v>
      </c>
      <c r="C57" s="2">
        <v>63.2</v>
      </c>
      <c r="D57" s="3">
        <v>0.10100000000000001</v>
      </c>
      <c r="E57" s="5">
        <v>-0.53851428600000006</v>
      </c>
      <c r="F57">
        <v>49</v>
      </c>
    </row>
    <row r="58" spans="1:6" x14ac:dyDescent="0.25">
      <c r="A58" s="3">
        <v>3</v>
      </c>
      <c r="B58" s="3">
        <v>112</v>
      </c>
      <c r="C58" s="2">
        <v>20</v>
      </c>
      <c r="D58" s="3">
        <v>0.108</v>
      </c>
      <c r="E58" s="5">
        <v>-0.5101</v>
      </c>
      <c r="F58">
        <v>57</v>
      </c>
    </row>
    <row r="59" spans="1:6" x14ac:dyDescent="0.25">
      <c r="A59" s="3">
        <v>1</v>
      </c>
      <c r="B59" s="3">
        <v>233</v>
      </c>
      <c r="C59" s="2">
        <v>25.6</v>
      </c>
      <c r="D59" s="3">
        <v>0.109</v>
      </c>
      <c r="E59" s="5">
        <v>-0.47670270300000006</v>
      </c>
      <c r="F59">
        <v>67</v>
      </c>
    </row>
    <row r="60" spans="1:6" x14ac:dyDescent="0.25">
      <c r="A60" s="3">
        <v>5</v>
      </c>
      <c r="B60" s="3">
        <v>80</v>
      </c>
      <c r="C60" s="2">
        <v>29.6</v>
      </c>
      <c r="D60" s="3">
        <v>0.111</v>
      </c>
      <c r="E60" s="5">
        <v>-0.53582456099999998</v>
      </c>
      <c r="F60">
        <v>52</v>
      </c>
    </row>
    <row r="61" spans="1:6" x14ac:dyDescent="0.25">
      <c r="A61" s="3">
        <v>2</v>
      </c>
      <c r="B61" s="3">
        <v>100</v>
      </c>
      <c r="C61" s="4">
        <v>13.5</v>
      </c>
      <c r="D61" s="3">
        <v>0.11700000000000001</v>
      </c>
      <c r="E61" s="5">
        <v>-0.57084210499999999</v>
      </c>
      <c r="F61">
        <v>36</v>
      </c>
    </row>
    <row r="62" spans="1:6" x14ac:dyDescent="0.25">
      <c r="A62" s="3">
        <v>3</v>
      </c>
      <c r="B62" s="3">
        <v>28</v>
      </c>
      <c r="C62" s="2">
        <v>22.2</v>
      </c>
      <c r="D62" s="3">
        <v>0.122</v>
      </c>
      <c r="E62" s="5">
        <v>-0.49609999999999999</v>
      </c>
      <c r="F62">
        <v>61</v>
      </c>
    </row>
    <row r="63" spans="1:6" x14ac:dyDescent="0.25">
      <c r="A63" s="3">
        <v>5</v>
      </c>
      <c r="B63" s="3">
        <v>171</v>
      </c>
      <c r="C63" s="2">
        <v>46.4</v>
      </c>
      <c r="D63" s="3">
        <v>0.122</v>
      </c>
      <c r="E63" s="5">
        <v>-0.52482456099999997</v>
      </c>
      <c r="F63">
        <v>53</v>
      </c>
    </row>
    <row r="64" spans="1:6" x14ac:dyDescent="0.25">
      <c r="A64" s="3">
        <v>4</v>
      </c>
      <c r="B64" s="3">
        <v>225</v>
      </c>
      <c r="C64" s="2">
        <v>66</v>
      </c>
      <c r="D64" s="3">
        <v>0.122</v>
      </c>
      <c r="E64" s="5">
        <v>-0.51751428600000005</v>
      </c>
      <c r="F64">
        <v>55</v>
      </c>
    </row>
    <row r="65" spans="1:6" x14ac:dyDescent="0.25">
      <c r="A65" s="3">
        <v>3</v>
      </c>
      <c r="B65" s="3">
        <v>19</v>
      </c>
      <c r="C65" s="2">
        <v>35.200000000000003</v>
      </c>
      <c r="D65" s="3">
        <v>0.127</v>
      </c>
      <c r="E65" s="5">
        <v>-0.49109999999999998</v>
      </c>
      <c r="F65">
        <v>63</v>
      </c>
    </row>
    <row r="66" spans="1:6" x14ac:dyDescent="0.25">
      <c r="A66" s="3">
        <v>1</v>
      </c>
      <c r="B66" s="3">
        <v>273</v>
      </c>
      <c r="C66" s="2">
        <v>43.2</v>
      </c>
      <c r="D66" s="3">
        <v>0.13200000000000001</v>
      </c>
      <c r="E66" s="5">
        <v>-0.45370270300000004</v>
      </c>
      <c r="F66">
        <v>68</v>
      </c>
    </row>
    <row r="67" spans="1:6" x14ac:dyDescent="0.25">
      <c r="A67" s="3">
        <v>3</v>
      </c>
      <c r="B67" s="3">
        <v>9</v>
      </c>
      <c r="C67" s="2">
        <v>20.8</v>
      </c>
      <c r="D67" s="3">
        <v>0.13500000000000001</v>
      </c>
      <c r="E67" s="5">
        <v>-0.48309999999999997</v>
      </c>
      <c r="F67">
        <v>65</v>
      </c>
    </row>
    <row r="68" spans="1:6" x14ac:dyDescent="0.25">
      <c r="A68" s="3">
        <v>1</v>
      </c>
      <c r="B68" s="3">
        <v>214</v>
      </c>
      <c r="C68" s="2">
        <v>62</v>
      </c>
      <c r="D68" s="3">
        <v>0.14000000000000001</v>
      </c>
      <c r="E68" s="5">
        <v>-0.44570270300000003</v>
      </c>
      <c r="F68">
        <v>70</v>
      </c>
    </row>
    <row r="69" spans="1:6" x14ac:dyDescent="0.25">
      <c r="A69" s="3">
        <v>5</v>
      </c>
      <c r="B69" s="3">
        <v>49</v>
      </c>
      <c r="C69" s="2">
        <v>20.399999999999999</v>
      </c>
      <c r="D69" s="3">
        <v>0.153</v>
      </c>
      <c r="E69" s="5">
        <v>-0.49382456099999994</v>
      </c>
      <c r="F69">
        <v>62</v>
      </c>
    </row>
    <row r="70" spans="1:6" x14ac:dyDescent="0.25">
      <c r="A70" s="3">
        <v>1</v>
      </c>
      <c r="B70" s="3">
        <v>94</v>
      </c>
      <c r="C70" s="2">
        <v>33</v>
      </c>
      <c r="D70" s="3">
        <v>0.159</v>
      </c>
      <c r="E70" s="5">
        <v>-0.42670270300000002</v>
      </c>
      <c r="F70">
        <v>72</v>
      </c>
    </row>
    <row r="71" spans="1:6" x14ac:dyDescent="0.25">
      <c r="A71" s="3">
        <v>5</v>
      </c>
      <c r="B71" s="3">
        <v>183</v>
      </c>
      <c r="C71" s="2">
        <v>35.4</v>
      </c>
      <c r="D71" s="3">
        <v>0.16400000000000001</v>
      </c>
      <c r="E71" s="5">
        <v>-0.48282456099999993</v>
      </c>
      <c r="F71">
        <v>66</v>
      </c>
    </row>
    <row r="72" spans="1:6" x14ac:dyDescent="0.25">
      <c r="A72" s="3">
        <v>1</v>
      </c>
      <c r="B72" s="3">
        <v>283</v>
      </c>
      <c r="C72" s="2">
        <v>75.2</v>
      </c>
      <c r="D72" s="3">
        <v>0.16600000000000001</v>
      </c>
      <c r="E72" s="5">
        <v>-0.41970270300000001</v>
      </c>
      <c r="F72">
        <v>74</v>
      </c>
    </row>
    <row r="73" spans="1:6" x14ac:dyDescent="0.25">
      <c r="A73" s="3">
        <v>1</v>
      </c>
      <c r="B73" s="3">
        <v>204</v>
      </c>
      <c r="C73" s="2">
        <v>65.2</v>
      </c>
      <c r="D73" s="3">
        <v>0.17799999999999999</v>
      </c>
      <c r="E73" s="5">
        <v>-0.40770270300000006</v>
      </c>
      <c r="F73">
        <v>76</v>
      </c>
    </row>
    <row r="74" spans="1:6" x14ac:dyDescent="0.25">
      <c r="A74" s="3">
        <v>1</v>
      </c>
      <c r="B74" s="3">
        <v>256</v>
      </c>
      <c r="C74" s="2">
        <v>21.4</v>
      </c>
      <c r="D74" s="3">
        <v>0.17899999999999999</v>
      </c>
      <c r="E74" s="5">
        <v>-0.40670270300000005</v>
      </c>
      <c r="F74">
        <v>77</v>
      </c>
    </row>
    <row r="75" spans="1:6" x14ac:dyDescent="0.25">
      <c r="A75" s="3">
        <v>1</v>
      </c>
      <c r="B75" s="3">
        <v>4</v>
      </c>
      <c r="C75" s="4">
        <v>4.4400000000000004</v>
      </c>
      <c r="D75" s="3">
        <v>0.191</v>
      </c>
      <c r="E75" s="5">
        <v>-0.39470270300000004</v>
      </c>
      <c r="F75">
        <v>78</v>
      </c>
    </row>
    <row r="76" spans="1:6" x14ac:dyDescent="0.25">
      <c r="A76" s="3">
        <v>5</v>
      </c>
      <c r="B76" s="3">
        <v>64</v>
      </c>
      <c r="C76" s="2">
        <v>20.399999999999999</v>
      </c>
      <c r="D76" s="3">
        <v>0.19500000000000001</v>
      </c>
      <c r="E76" s="5">
        <v>-0.45182456099999996</v>
      </c>
      <c r="F76">
        <v>69</v>
      </c>
    </row>
    <row r="77" spans="1:6" x14ac:dyDescent="0.25">
      <c r="A77" s="3">
        <v>5</v>
      </c>
      <c r="B77" s="3">
        <v>303</v>
      </c>
      <c r="C77" s="2">
        <v>59.2</v>
      </c>
      <c r="D77" s="3">
        <v>0.20699999999999999</v>
      </c>
      <c r="E77" s="5">
        <v>-0.439824561</v>
      </c>
      <c r="F77">
        <v>71</v>
      </c>
    </row>
    <row r="78" spans="1:6" x14ac:dyDescent="0.25">
      <c r="A78" s="3">
        <v>5</v>
      </c>
      <c r="B78" s="3">
        <v>210</v>
      </c>
      <c r="C78" s="2">
        <v>36</v>
      </c>
      <c r="D78" s="3">
        <v>0.223</v>
      </c>
      <c r="E78" s="5">
        <v>-0.42382456099999999</v>
      </c>
      <c r="F78">
        <v>73</v>
      </c>
    </row>
    <row r="79" spans="1:6" ht="16.5" thickBot="1" x14ac:dyDescent="0.3">
      <c r="A79" s="12">
        <v>5</v>
      </c>
      <c r="B79" s="12">
        <v>242</v>
      </c>
      <c r="C79" s="17">
        <v>9.7200000000000006</v>
      </c>
      <c r="D79" s="12">
        <v>0.23300000000000001</v>
      </c>
      <c r="E79" s="13">
        <v>-0.41382456099999998</v>
      </c>
      <c r="F79" s="14">
        <v>75</v>
      </c>
    </row>
    <row r="80" spans="1:6" x14ac:dyDescent="0.25">
      <c r="A80" s="3">
        <v>1</v>
      </c>
      <c r="B80" s="3">
        <v>285</v>
      </c>
      <c r="C80" s="2">
        <v>61.2</v>
      </c>
      <c r="D80" s="3">
        <v>0.73199999999999998</v>
      </c>
      <c r="E80" s="5">
        <v>0.14629729699999994</v>
      </c>
      <c r="F80">
        <v>79</v>
      </c>
    </row>
    <row r="81" spans="1:6" x14ac:dyDescent="0.25">
      <c r="A81" s="3">
        <v>1</v>
      </c>
      <c r="B81" s="3">
        <v>146</v>
      </c>
      <c r="C81" s="2">
        <v>31.8</v>
      </c>
      <c r="D81" s="3">
        <v>0.752</v>
      </c>
      <c r="E81" s="5">
        <v>0.16629729699999996</v>
      </c>
      <c r="F81">
        <v>80</v>
      </c>
    </row>
    <row r="82" spans="1:6" x14ac:dyDescent="0.25">
      <c r="A82" s="3">
        <v>1</v>
      </c>
      <c r="B82" s="3">
        <v>132</v>
      </c>
      <c r="C82" s="2">
        <v>40.200000000000003</v>
      </c>
      <c r="D82" s="3">
        <v>0.83599999999999997</v>
      </c>
      <c r="E82" s="5">
        <v>0.25029729699999992</v>
      </c>
      <c r="F82">
        <v>81</v>
      </c>
    </row>
    <row r="83" spans="1:6" x14ac:dyDescent="0.25">
      <c r="A83" s="3">
        <v>1</v>
      </c>
      <c r="B83" s="3">
        <v>72</v>
      </c>
      <c r="C83" s="2">
        <v>29.4</v>
      </c>
      <c r="D83" s="3">
        <v>0.84199999999999997</v>
      </c>
      <c r="E83" s="5">
        <v>0.25629729699999992</v>
      </c>
      <c r="F83">
        <v>82</v>
      </c>
    </row>
    <row r="84" spans="1:6" x14ac:dyDescent="0.25">
      <c r="A84" s="3">
        <v>1</v>
      </c>
      <c r="B84" s="3">
        <v>222</v>
      </c>
      <c r="C84" s="2">
        <v>41</v>
      </c>
      <c r="D84" s="3">
        <v>0.86899999999999999</v>
      </c>
      <c r="E84" s="5">
        <v>0.28329729699999995</v>
      </c>
      <c r="F84">
        <v>83</v>
      </c>
    </row>
    <row r="85" spans="1:6" x14ac:dyDescent="0.25">
      <c r="A85" s="3">
        <v>1</v>
      </c>
      <c r="B85" s="3">
        <v>131</v>
      </c>
      <c r="C85" s="2">
        <v>39.799999999999997</v>
      </c>
      <c r="D85" s="3">
        <v>0.874</v>
      </c>
      <c r="E85" s="5">
        <v>0.28829729699999995</v>
      </c>
      <c r="F85">
        <v>84</v>
      </c>
    </row>
    <row r="86" spans="1:6" x14ac:dyDescent="0.25">
      <c r="A86" s="3">
        <v>1</v>
      </c>
      <c r="B86" s="3">
        <v>30</v>
      </c>
      <c r="C86" s="4">
        <v>14.8</v>
      </c>
      <c r="D86" s="3">
        <v>0.88600000000000001</v>
      </c>
      <c r="E86" s="5">
        <v>0.30029729699999996</v>
      </c>
      <c r="F86">
        <v>86</v>
      </c>
    </row>
    <row r="87" spans="1:6" x14ac:dyDescent="0.25">
      <c r="A87" s="3">
        <v>3</v>
      </c>
      <c r="B87" s="3">
        <v>120</v>
      </c>
      <c r="C87" s="2">
        <v>47.8</v>
      </c>
      <c r="D87" s="3">
        <v>0.91700000000000004</v>
      </c>
      <c r="E87" s="5">
        <v>0.29890000000000005</v>
      </c>
      <c r="F87">
        <v>85</v>
      </c>
    </row>
    <row r="88" spans="1:6" x14ac:dyDescent="0.25">
      <c r="A88" s="3">
        <v>1</v>
      </c>
      <c r="B88" s="3">
        <v>116</v>
      </c>
      <c r="C88" s="2">
        <v>50.4</v>
      </c>
      <c r="D88" s="3">
        <v>0.92400000000000004</v>
      </c>
      <c r="E88" s="5">
        <v>0.338297297</v>
      </c>
      <c r="F88">
        <v>88</v>
      </c>
    </row>
    <row r="89" spans="1:6" x14ac:dyDescent="0.25">
      <c r="A89" s="3">
        <v>3</v>
      </c>
      <c r="B89" s="3">
        <v>154</v>
      </c>
      <c r="C89" s="2">
        <v>69.2</v>
      </c>
      <c r="D89" s="3">
        <v>0.93400000000000005</v>
      </c>
      <c r="E89" s="5">
        <v>0.31590000000000007</v>
      </c>
      <c r="F89">
        <v>87</v>
      </c>
    </row>
    <row r="90" spans="1:6" x14ac:dyDescent="0.25">
      <c r="A90" s="3">
        <v>1</v>
      </c>
      <c r="B90" s="3">
        <v>324</v>
      </c>
      <c r="C90" s="2">
        <v>50.6</v>
      </c>
      <c r="D90" s="3">
        <v>0.93799999999999994</v>
      </c>
      <c r="E90" s="5">
        <v>0.3522972969999999</v>
      </c>
      <c r="F90">
        <v>91</v>
      </c>
    </row>
    <row r="91" spans="1:6" x14ac:dyDescent="0.25">
      <c r="A91" s="3">
        <v>3</v>
      </c>
      <c r="B91" s="3">
        <v>293</v>
      </c>
      <c r="C91" s="2">
        <v>80.2</v>
      </c>
      <c r="D91" s="3">
        <v>0.96799999999999997</v>
      </c>
      <c r="E91" s="5">
        <v>0.34989999999999999</v>
      </c>
      <c r="F91">
        <v>90</v>
      </c>
    </row>
    <row r="92" spans="1:6" x14ac:dyDescent="0.25">
      <c r="A92" s="3">
        <v>1</v>
      </c>
      <c r="B92" s="3">
        <v>33</v>
      </c>
      <c r="C92" s="2">
        <v>41.8</v>
      </c>
      <c r="D92" s="3">
        <v>0.98899999999999999</v>
      </c>
      <c r="E92" s="5">
        <v>0.40329729699999994</v>
      </c>
      <c r="F92">
        <v>94</v>
      </c>
    </row>
    <row r="93" spans="1:6" x14ac:dyDescent="0.25">
      <c r="A93" s="3">
        <v>5</v>
      </c>
      <c r="B93" s="3">
        <v>217</v>
      </c>
      <c r="C93" s="2">
        <v>66</v>
      </c>
      <c r="D93" s="3">
        <v>0.99</v>
      </c>
      <c r="E93" s="5">
        <v>0.34317543900000003</v>
      </c>
      <c r="F93">
        <v>89</v>
      </c>
    </row>
    <row r="94" spans="1:6" x14ac:dyDescent="0.25">
      <c r="A94" s="3">
        <v>4</v>
      </c>
      <c r="B94" s="3">
        <v>182</v>
      </c>
      <c r="C94" s="2">
        <v>55</v>
      </c>
      <c r="D94" s="3">
        <v>1.0069999999999999</v>
      </c>
      <c r="E94" s="5">
        <v>0.36748571399999985</v>
      </c>
      <c r="F94">
        <v>92</v>
      </c>
    </row>
    <row r="95" spans="1:6" x14ac:dyDescent="0.25">
      <c r="A95" s="3">
        <v>1</v>
      </c>
      <c r="B95" s="3">
        <v>65</v>
      </c>
      <c r="C95" s="2">
        <v>23.6</v>
      </c>
      <c r="D95" s="3">
        <v>1.0089999999999999</v>
      </c>
      <c r="E95" s="5">
        <v>0.42329729699999985</v>
      </c>
      <c r="F95">
        <v>96</v>
      </c>
    </row>
    <row r="96" spans="1:6" x14ac:dyDescent="0.25">
      <c r="A96" s="3">
        <v>5</v>
      </c>
      <c r="B96" s="3">
        <v>188</v>
      </c>
      <c r="C96" s="2">
        <v>38.6</v>
      </c>
      <c r="D96" s="3">
        <v>1.018</v>
      </c>
      <c r="E96" s="5">
        <v>0.37117543900000005</v>
      </c>
      <c r="F96">
        <v>93</v>
      </c>
    </row>
    <row r="97" spans="1:6" x14ac:dyDescent="0.25">
      <c r="A97" s="3">
        <v>4</v>
      </c>
      <c r="B97" s="3">
        <v>140</v>
      </c>
      <c r="C97" s="2">
        <v>126</v>
      </c>
      <c r="D97" s="3">
        <v>1.052</v>
      </c>
      <c r="E97" s="5">
        <v>0.412485714</v>
      </c>
      <c r="F97">
        <v>95</v>
      </c>
    </row>
    <row r="98" spans="1:6" x14ac:dyDescent="0.25">
      <c r="A98" s="3">
        <v>1</v>
      </c>
      <c r="B98" s="3">
        <v>98</v>
      </c>
      <c r="C98" s="2">
        <v>43.2</v>
      </c>
      <c r="D98" s="3">
        <v>1.0529999999999999</v>
      </c>
      <c r="E98" s="5">
        <v>0.46729729699999989</v>
      </c>
      <c r="F98">
        <v>104</v>
      </c>
    </row>
    <row r="99" spans="1:6" x14ac:dyDescent="0.25">
      <c r="A99" s="3">
        <v>4</v>
      </c>
      <c r="B99" s="3">
        <v>314</v>
      </c>
      <c r="C99" s="2">
        <v>37.799999999999997</v>
      </c>
      <c r="D99" s="3">
        <v>1.087</v>
      </c>
      <c r="E99" s="5">
        <v>0.44748571399999992</v>
      </c>
      <c r="F99">
        <v>98</v>
      </c>
    </row>
    <row r="100" spans="1:6" x14ac:dyDescent="0.25">
      <c r="A100" s="3">
        <v>4</v>
      </c>
      <c r="B100" s="3">
        <v>42</v>
      </c>
      <c r="C100" s="2">
        <v>31</v>
      </c>
      <c r="D100" s="3">
        <v>1.0920000000000001</v>
      </c>
      <c r="E100" s="5">
        <v>0.45248571400000004</v>
      </c>
      <c r="F100">
        <v>99</v>
      </c>
    </row>
    <row r="101" spans="1:6" x14ac:dyDescent="0.25">
      <c r="A101" s="3">
        <v>5</v>
      </c>
      <c r="B101" s="3">
        <v>141</v>
      </c>
      <c r="C101" s="2">
        <v>22</v>
      </c>
      <c r="D101" s="3">
        <v>1.0920000000000001</v>
      </c>
      <c r="E101" s="5">
        <v>0.44517543900000012</v>
      </c>
      <c r="F101">
        <v>97</v>
      </c>
    </row>
    <row r="102" spans="1:6" x14ac:dyDescent="0.25">
      <c r="A102" s="3">
        <v>4</v>
      </c>
      <c r="B102" s="3">
        <v>252</v>
      </c>
      <c r="C102" s="2">
        <v>56.6</v>
      </c>
      <c r="D102" s="3">
        <v>1.0940000000000001</v>
      </c>
      <c r="E102" s="5">
        <v>0.45448571400000004</v>
      </c>
      <c r="F102">
        <v>100</v>
      </c>
    </row>
    <row r="103" spans="1:6" x14ac:dyDescent="0.25">
      <c r="A103" s="3">
        <v>5</v>
      </c>
      <c r="B103" s="3">
        <v>15</v>
      </c>
      <c r="C103" s="2">
        <v>36.799999999999997</v>
      </c>
      <c r="D103" s="3">
        <v>1.1080000000000001</v>
      </c>
      <c r="E103" s="5">
        <v>0.46117543900000013</v>
      </c>
      <c r="F103">
        <v>103</v>
      </c>
    </row>
    <row r="104" spans="1:6" x14ac:dyDescent="0.25">
      <c r="A104" s="3">
        <v>3</v>
      </c>
      <c r="B104" s="3">
        <v>111</v>
      </c>
      <c r="C104" s="2">
        <v>41.8</v>
      </c>
      <c r="D104" s="3">
        <v>1.1299999999999999</v>
      </c>
      <c r="E104" s="5">
        <v>0.51189999999999991</v>
      </c>
      <c r="F104">
        <v>106</v>
      </c>
    </row>
    <row r="105" spans="1:6" x14ac:dyDescent="0.25">
      <c r="A105" s="3">
        <v>5</v>
      </c>
      <c r="B105" s="3">
        <v>205</v>
      </c>
      <c r="C105" s="2">
        <v>43.4</v>
      </c>
      <c r="D105" s="3">
        <v>1.143</v>
      </c>
      <c r="E105" s="5">
        <v>0.49617543900000005</v>
      </c>
      <c r="F105">
        <v>105</v>
      </c>
    </row>
    <row r="106" spans="1:6" x14ac:dyDescent="0.25">
      <c r="A106" s="3">
        <v>2</v>
      </c>
      <c r="B106" s="3">
        <v>289</v>
      </c>
      <c r="C106" s="2">
        <v>54.6</v>
      </c>
      <c r="D106" s="3">
        <v>1.1439999999999999</v>
      </c>
      <c r="E106" s="5">
        <v>0.45615789499999992</v>
      </c>
      <c r="F106">
        <v>101</v>
      </c>
    </row>
    <row r="107" spans="1:6" x14ac:dyDescent="0.25">
      <c r="A107" s="3">
        <v>2</v>
      </c>
      <c r="B107" s="3">
        <v>83</v>
      </c>
      <c r="C107" s="2">
        <v>37.4</v>
      </c>
      <c r="D107" s="3">
        <v>1.1459999999999999</v>
      </c>
      <c r="E107" s="5">
        <v>0.45815789499999993</v>
      </c>
      <c r="F107">
        <v>102</v>
      </c>
    </row>
    <row r="108" spans="1:6" x14ac:dyDescent="0.25">
      <c r="A108" s="3">
        <v>4</v>
      </c>
      <c r="B108" s="3">
        <v>119</v>
      </c>
      <c r="C108" s="2">
        <v>73.8</v>
      </c>
      <c r="D108" s="3">
        <v>1.1830000000000001</v>
      </c>
      <c r="E108" s="5">
        <v>0.54348571400000001</v>
      </c>
      <c r="F108">
        <v>107</v>
      </c>
    </row>
    <row r="109" spans="1:6" x14ac:dyDescent="0.25">
      <c r="A109" s="3">
        <v>5</v>
      </c>
      <c r="B109" s="3">
        <v>292</v>
      </c>
      <c r="C109" s="2">
        <v>75.2</v>
      </c>
      <c r="D109" s="3">
        <v>1.2010000000000001</v>
      </c>
      <c r="E109" s="5">
        <v>0.5541754390000001</v>
      </c>
      <c r="F109">
        <v>108</v>
      </c>
    </row>
    <row r="110" spans="1:6" x14ac:dyDescent="0.25">
      <c r="A110" s="3">
        <v>4</v>
      </c>
      <c r="B110" s="3">
        <v>218</v>
      </c>
      <c r="C110" s="2">
        <v>41.6</v>
      </c>
      <c r="D110" s="3">
        <v>1.2190000000000001</v>
      </c>
      <c r="E110" s="5">
        <v>0.57948571400000004</v>
      </c>
      <c r="F110">
        <v>111</v>
      </c>
    </row>
    <row r="111" spans="1:6" x14ac:dyDescent="0.25">
      <c r="A111" s="3">
        <v>2</v>
      </c>
      <c r="B111" s="3">
        <v>166</v>
      </c>
      <c r="C111" s="2">
        <v>58.2</v>
      </c>
      <c r="D111" s="3">
        <v>1.2509999999999999</v>
      </c>
      <c r="E111" s="5">
        <v>0.56315789499999991</v>
      </c>
      <c r="F111">
        <v>109</v>
      </c>
    </row>
    <row r="112" spans="1:6" x14ac:dyDescent="0.25">
      <c r="A112" s="3">
        <v>2</v>
      </c>
      <c r="B112" s="3">
        <v>84</v>
      </c>
      <c r="C112" s="2">
        <v>54.4</v>
      </c>
      <c r="D112" s="3">
        <v>1.262</v>
      </c>
      <c r="E112" s="5">
        <v>0.57415789500000003</v>
      </c>
      <c r="F112">
        <v>110</v>
      </c>
    </row>
    <row r="113" spans="1:6" x14ac:dyDescent="0.25">
      <c r="A113" s="3">
        <v>3</v>
      </c>
      <c r="B113" s="3">
        <v>59</v>
      </c>
      <c r="C113" s="4">
        <v>11</v>
      </c>
      <c r="D113" s="3">
        <v>1.2629999999999999</v>
      </c>
      <c r="E113" s="5">
        <v>0.64489999999999992</v>
      </c>
      <c r="F113">
        <v>115</v>
      </c>
    </row>
    <row r="114" spans="1:6" x14ac:dyDescent="0.25">
      <c r="A114" s="3">
        <v>5</v>
      </c>
      <c r="B114" s="3">
        <v>253</v>
      </c>
      <c r="C114" s="2">
        <v>46.6</v>
      </c>
      <c r="D114" s="3">
        <v>1.2749999999999999</v>
      </c>
      <c r="E114" s="5">
        <v>0.62817543899999995</v>
      </c>
      <c r="F114">
        <v>114</v>
      </c>
    </row>
    <row r="115" spans="1:6" x14ac:dyDescent="0.25">
      <c r="A115" s="3">
        <v>2</v>
      </c>
      <c r="B115" s="3">
        <v>61</v>
      </c>
      <c r="C115" s="4">
        <v>14</v>
      </c>
      <c r="D115" s="3">
        <v>1.2889999999999999</v>
      </c>
      <c r="E115" s="5">
        <v>0.60115789499999994</v>
      </c>
      <c r="F115">
        <v>112</v>
      </c>
    </row>
    <row r="116" spans="1:6" x14ac:dyDescent="0.25">
      <c r="A116" s="3">
        <v>2</v>
      </c>
      <c r="B116" s="3">
        <v>71</v>
      </c>
      <c r="C116" s="2">
        <v>26</v>
      </c>
      <c r="D116" s="3">
        <v>1.292</v>
      </c>
      <c r="E116" s="5">
        <v>0.60415789500000006</v>
      </c>
      <c r="F116">
        <v>113</v>
      </c>
    </row>
    <row r="117" spans="1:6" x14ac:dyDescent="0.25">
      <c r="A117" s="3">
        <v>4</v>
      </c>
      <c r="B117" s="3">
        <v>143</v>
      </c>
      <c r="C117" s="2">
        <v>76.8</v>
      </c>
      <c r="D117" s="3">
        <v>1.3280000000000001</v>
      </c>
      <c r="E117" s="5">
        <v>0.68848571400000003</v>
      </c>
      <c r="F117">
        <v>116</v>
      </c>
    </row>
    <row r="118" spans="1:6" x14ac:dyDescent="0.25">
      <c r="A118" s="3">
        <v>4</v>
      </c>
      <c r="B118" s="3">
        <v>192</v>
      </c>
      <c r="C118" s="2">
        <v>43.4</v>
      </c>
      <c r="D118" s="3">
        <v>1.3360000000000001</v>
      </c>
      <c r="E118" s="5">
        <v>0.69648571400000003</v>
      </c>
      <c r="F118">
        <v>117</v>
      </c>
    </row>
    <row r="119" spans="1:6" x14ac:dyDescent="0.25">
      <c r="A119" s="3">
        <v>3</v>
      </c>
      <c r="B119" s="3">
        <v>179</v>
      </c>
      <c r="C119" s="2">
        <v>31.2</v>
      </c>
      <c r="D119" s="3">
        <v>1.345</v>
      </c>
      <c r="E119" s="5">
        <v>0.72689999999999999</v>
      </c>
      <c r="F119">
        <v>119</v>
      </c>
    </row>
    <row r="120" spans="1:6" x14ac:dyDescent="0.25">
      <c r="A120" s="3">
        <v>3</v>
      </c>
      <c r="B120" s="3">
        <v>319</v>
      </c>
      <c r="C120" s="2">
        <v>88.6</v>
      </c>
      <c r="D120" s="3">
        <v>1.3480000000000001</v>
      </c>
      <c r="E120" s="5">
        <v>0.7299000000000001</v>
      </c>
      <c r="F120">
        <v>120</v>
      </c>
    </row>
    <row r="121" spans="1:6" x14ac:dyDescent="0.25">
      <c r="A121" s="3">
        <v>5</v>
      </c>
      <c r="B121" s="3">
        <v>175</v>
      </c>
      <c r="C121" s="2">
        <v>81.400000000000006</v>
      </c>
      <c r="D121" s="3">
        <v>1.3779999999999999</v>
      </c>
      <c r="E121" s="5">
        <v>0.73117543899999993</v>
      </c>
      <c r="F121">
        <v>121</v>
      </c>
    </row>
    <row r="122" spans="1:6" x14ac:dyDescent="0.25">
      <c r="A122" s="3">
        <v>3</v>
      </c>
      <c r="B122" s="3">
        <v>226</v>
      </c>
      <c r="C122" s="2">
        <v>37.4</v>
      </c>
      <c r="D122" s="3">
        <v>1.379</v>
      </c>
      <c r="E122" s="5">
        <v>0.76090000000000002</v>
      </c>
      <c r="F122">
        <v>122</v>
      </c>
    </row>
    <row r="123" spans="1:6" x14ac:dyDescent="0.25">
      <c r="A123" s="3">
        <v>2</v>
      </c>
      <c r="B123" s="3">
        <v>86</v>
      </c>
      <c r="C123" s="2">
        <v>49.4</v>
      </c>
      <c r="D123" s="3">
        <v>1.4039999999999999</v>
      </c>
      <c r="E123" s="5">
        <v>0.71615789499999993</v>
      </c>
      <c r="F123">
        <v>118</v>
      </c>
    </row>
    <row r="124" spans="1:6" x14ac:dyDescent="0.25">
      <c r="A124" s="3">
        <v>3</v>
      </c>
      <c r="B124" s="3">
        <v>308</v>
      </c>
      <c r="C124" s="2">
        <v>57.6</v>
      </c>
      <c r="D124" s="3">
        <v>1.4079999999999999</v>
      </c>
      <c r="E124" s="5">
        <v>0.78989999999999994</v>
      </c>
      <c r="F124">
        <v>123</v>
      </c>
    </row>
    <row r="125" spans="1:6" x14ac:dyDescent="0.25">
      <c r="A125" s="3">
        <v>4</v>
      </c>
      <c r="B125" s="3">
        <v>227</v>
      </c>
      <c r="C125" s="2">
        <v>63.2</v>
      </c>
      <c r="D125" s="3">
        <v>1.4550000000000001</v>
      </c>
      <c r="E125" s="5">
        <v>0.81548571400000003</v>
      </c>
      <c r="F125">
        <v>125</v>
      </c>
    </row>
    <row r="126" spans="1:6" x14ac:dyDescent="0.25">
      <c r="A126" s="3">
        <v>4</v>
      </c>
      <c r="B126" s="3">
        <v>312</v>
      </c>
      <c r="C126" s="2">
        <v>109</v>
      </c>
      <c r="D126" s="3">
        <v>1.4630000000000001</v>
      </c>
      <c r="E126" s="5">
        <v>0.82348571400000004</v>
      </c>
      <c r="F126">
        <v>126</v>
      </c>
    </row>
    <row r="127" spans="1:6" x14ac:dyDescent="0.25">
      <c r="A127" s="3">
        <v>4</v>
      </c>
      <c r="B127" s="3">
        <v>180</v>
      </c>
      <c r="C127" s="2">
        <v>46.4</v>
      </c>
      <c r="D127" s="3">
        <v>1.464</v>
      </c>
      <c r="E127" s="5">
        <v>0.82448571399999993</v>
      </c>
      <c r="F127">
        <v>127</v>
      </c>
    </row>
    <row r="128" spans="1:6" x14ac:dyDescent="0.25">
      <c r="A128" s="3">
        <v>2</v>
      </c>
      <c r="B128" s="3">
        <v>50</v>
      </c>
      <c r="C128" s="2">
        <v>68.2</v>
      </c>
      <c r="D128" s="3">
        <v>1.4970000000000001</v>
      </c>
      <c r="E128" s="5">
        <v>0.80915789500000013</v>
      </c>
      <c r="F128">
        <v>124</v>
      </c>
    </row>
    <row r="129" spans="1:6" x14ac:dyDescent="0.25">
      <c r="A129" s="3">
        <v>5</v>
      </c>
      <c r="B129" s="3">
        <v>25</v>
      </c>
      <c r="C129" s="2">
        <v>53.2</v>
      </c>
      <c r="D129" s="3">
        <v>1.5029999999999999</v>
      </c>
      <c r="E129" s="5">
        <v>0.85617543899999993</v>
      </c>
      <c r="F129">
        <v>128</v>
      </c>
    </row>
    <row r="130" spans="1:6" x14ac:dyDescent="0.25">
      <c r="A130" s="3">
        <v>1</v>
      </c>
      <c r="B130" s="3">
        <v>284</v>
      </c>
      <c r="C130" s="2">
        <v>70.400000000000006</v>
      </c>
      <c r="D130" s="3">
        <v>1.536</v>
      </c>
      <c r="E130" s="5">
        <v>0.95029729699999999</v>
      </c>
      <c r="F130">
        <v>132</v>
      </c>
    </row>
    <row r="131" spans="1:6" x14ac:dyDescent="0.25">
      <c r="A131" s="3">
        <v>4</v>
      </c>
      <c r="B131" s="3">
        <v>224</v>
      </c>
      <c r="C131" s="2">
        <v>40.799999999999997</v>
      </c>
      <c r="D131" s="3">
        <v>1.5369999999999999</v>
      </c>
      <c r="E131" s="5">
        <v>0.89748571399999988</v>
      </c>
      <c r="F131">
        <v>129</v>
      </c>
    </row>
    <row r="132" spans="1:6" x14ac:dyDescent="0.25">
      <c r="A132" s="3">
        <v>4</v>
      </c>
      <c r="B132" s="3">
        <v>220</v>
      </c>
      <c r="C132" s="2">
        <v>49</v>
      </c>
      <c r="D132" s="3">
        <v>1.5860000000000001</v>
      </c>
      <c r="E132" s="5">
        <v>0.94648571400000003</v>
      </c>
      <c r="F132">
        <v>131</v>
      </c>
    </row>
    <row r="133" spans="1:6" x14ac:dyDescent="0.25">
      <c r="A133" s="3">
        <v>5</v>
      </c>
      <c r="B133" s="3">
        <v>302</v>
      </c>
      <c r="C133" s="2">
        <v>98.2</v>
      </c>
      <c r="D133" s="3">
        <v>1.6080000000000001</v>
      </c>
      <c r="E133" s="5">
        <v>0.96117543900000013</v>
      </c>
      <c r="F133">
        <v>133</v>
      </c>
    </row>
    <row r="134" spans="1:6" x14ac:dyDescent="0.25">
      <c r="A134" s="3">
        <v>2</v>
      </c>
      <c r="B134" s="3">
        <v>229</v>
      </c>
      <c r="C134" s="2">
        <v>35</v>
      </c>
      <c r="D134" s="3">
        <v>1.623</v>
      </c>
      <c r="E134" s="5">
        <v>0.93515789500000002</v>
      </c>
      <c r="F134">
        <v>130</v>
      </c>
    </row>
    <row r="135" spans="1:6" x14ac:dyDescent="0.25">
      <c r="A135" s="3">
        <v>5</v>
      </c>
      <c r="B135" s="3">
        <v>328</v>
      </c>
      <c r="C135" s="2">
        <v>54.4</v>
      </c>
      <c r="D135" s="3">
        <v>1.6459999999999999</v>
      </c>
      <c r="E135" s="5">
        <v>0.99917543899999994</v>
      </c>
      <c r="F135">
        <v>135</v>
      </c>
    </row>
    <row r="136" spans="1:6" x14ac:dyDescent="0.25">
      <c r="A136" s="3">
        <v>4</v>
      </c>
      <c r="B136" s="3">
        <v>264</v>
      </c>
      <c r="C136" s="2">
        <v>42.4</v>
      </c>
      <c r="D136" s="3">
        <v>1.649</v>
      </c>
      <c r="E136" s="5">
        <v>1.009485714</v>
      </c>
      <c r="F136">
        <v>136</v>
      </c>
    </row>
    <row r="137" spans="1:6" x14ac:dyDescent="0.25">
      <c r="A137" s="3">
        <v>5</v>
      </c>
      <c r="B137" s="3">
        <v>29</v>
      </c>
      <c r="C137" s="2">
        <v>68</v>
      </c>
      <c r="D137" s="3">
        <v>1.6619999999999999</v>
      </c>
      <c r="E137" s="5">
        <v>1.0151754390000001</v>
      </c>
      <c r="F137">
        <v>137</v>
      </c>
    </row>
    <row r="138" spans="1:6" x14ac:dyDescent="0.25">
      <c r="A138" s="3">
        <v>5</v>
      </c>
      <c r="B138" s="3">
        <v>177</v>
      </c>
      <c r="C138" s="2">
        <v>60.2</v>
      </c>
      <c r="D138" s="3">
        <v>1.679</v>
      </c>
      <c r="E138" s="5">
        <v>1.032175439</v>
      </c>
      <c r="F138">
        <v>138</v>
      </c>
    </row>
    <row r="139" spans="1:6" x14ac:dyDescent="0.25">
      <c r="A139" s="3">
        <v>2</v>
      </c>
      <c r="B139" s="3">
        <v>43</v>
      </c>
      <c r="C139" s="2">
        <v>69.8</v>
      </c>
      <c r="D139" s="3">
        <v>1.681</v>
      </c>
      <c r="E139" s="5">
        <v>0.99315789500000007</v>
      </c>
      <c r="F139">
        <v>134</v>
      </c>
    </row>
    <row r="140" spans="1:6" x14ac:dyDescent="0.25">
      <c r="A140" s="3">
        <v>3</v>
      </c>
      <c r="B140" s="3">
        <v>134</v>
      </c>
      <c r="C140" s="2">
        <v>45.6</v>
      </c>
      <c r="D140" s="3">
        <v>1.6859999999999999</v>
      </c>
      <c r="E140" s="5">
        <v>1.0678999999999998</v>
      </c>
      <c r="F140">
        <v>139</v>
      </c>
    </row>
    <row r="141" spans="1:6" x14ac:dyDescent="0.25">
      <c r="A141" s="3">
        <v>5</v>
      </c>
      <c r="B141" s="3">
        <v>3</v>
      </c>
      <c r="C141" s="4">
        <v>7.88</v>
      </c>
      <c r="D141" s="3">
        <v>1.718</v>
      </c>
      <c r="E141" s="5">
        <v>1.0711754390000001</v>
      </c>
      <c r="F141">
        <v>140</v>
      </c>
    </row>
    <row r="142" spans="1:6" x14ac:dyDescent="0.25">
      <c r="A142" s="3">
        <v>1</v>
      </c>
      <c r="B142" s="3">
        <v>261</v>
      </c>
      <c r="C142" s="2">
        <v>60.8</v>
      </c>
      <c r="D142" s="3">
        <v>1.7310000000000001</v>
      </c>
      <c r="E142" s="5">
        <v>1.1452972969999999</v>
      </c>
      <c r="F142">
        <v>142</v>
      </c>
    </row>
    <row r="143" spans="1:6" x14ac:dyDescent="0.25">
      <c r="A143" s="3">
        <v>1</v>
      </c>
      <c r="B143" s="3">
        <v>70</v>
      </c>
      <c r="C143" s="2">
        <v>21.4</v>
      </c>
      <c r="D143" s="3">
        <v>1.746</v>
      </c>
      <c r="E143" s="5">
        <v>1.1602972970000001</v>
      </c>
      <c r="F143">
        <v>143</v>
      </c>
    </row>
    <row r="144" spans="1:6" x14ac:dyDescent="0.25">
      <c r="A144" s="3">
        <v>1</v>
      </c>
      <c r="B144" s="3">
        <v>122</v>
      </c>
      <c r="C144" s="2">
        <v>35.799999999999997</v>
      </c>
      <c r="D144" s="3">
        <v>1.7709999999999999</v>
      </c>
      <c r="E144" s="5">
        <v>1.185297297</v>
      </c>
      <c r="F144">
        <v>145</v>
      </c>
    </row>
    <row r="145" spans="1:6" x14ac:dyDescent="0.25">
      <c r="A145" s="3">
        <v>2</v>
      </c>
      <c r="B145" s="3">
        <v>309</v>
      </c>
      <c r="C145" s="2">
        <v>65.400000000000006</v>
      </c>
      <c r="D145" s="3">
        <v>1.8129999999999999</v>
      </c>
      <c r="E145" s="5">
        <v>1.1251578950000001</v>
      </c>
      <c r="F145">
        <v>141</v>
      </c>
    </row>
    <row r="146" spans="1:6" x14ac:dyDescent="0.25">
      <c r="A146" s="3">
        <v>1</v>
      </c>
      <c r="B146" s="3">
        <v>223</v>
      </c>
      <c r="C146" s="2">
        <v>59.4</v>
      </c>
      <c r="D146" s="3">
        <v>1.8380000000000001</v>
      </c>
      <c r="E146" s="5">
        <v>1.2522972970000001</v>
      </c>
      <c r="F146">
        <v>147</v>
      </c>
    </row>
    <row r="147" spans="1:6" x14ac:dyDescent="0.25">
      <c r="A147" s="3">
        <v>4</v>
      </c>
      <c r="B147" s="3">
        <v>181</v>
      </c>
      <c r="C147" s="2">
        <v>89.4</v>
      </c>
      <c r="D147" s="3">
        <v>1.845</v>
      </c>
      <c r="E147" s="5">
        <v>1.2054857139999999</v>
      </c>
      <c r="F147">
        <v>146</v>
      </c>
    </row>
    <row r="148" spans="1:6" x14ac:dyDescent="0.25">
      <c r="A148" s="3">
        <v>2</v>
      </c>
      <c r="B148" s="3">
        <v>5</v>
      </c>
      <c r="C148" s="4">
        <v>7.64</v>
      </c>
      <c r="D148" s="3">
        <v>1.87</v>
      </c>
      <c r="E148" s="5">
        <v>1.182157895</v>
      </c>
      <c r="F148">
        <v>144</v>
      </c>
    </row>
    <row r="149" spans="1:6" x14ac:dyDescent="0.25">
      <c r="A149" s="3">
        <v>1</v>
      </c>
      <c r="B149" s="3">
        <v>259</v>
      </c>
      <c r="C149" s="2">
        <v>49.4</v>
      </c>
      <c r="D149" s="3">
        <v>1.875</v>
      </c>
      <c r="E149" s="5">
        <v>1.2892972970000001</v>
      </c>
      <c r="F149">
        <v>149</v>
      </c>
    </row>
    <row r="150" spans="1:6" x14ac:dyDescent="0.25">
      <c r="A150" s="3">
        <v>3</v>
      </c>
      <c r="B150" s="15">
        <v>167</v>
      </c>
      <c r="C150" s="2">
        <v>19.899999999999999</v>
      </c>
      <c r="D150" s="3">
        <v>1.952</v>
      </c>
      <c r="E150" s="5">
        <v>1.3338999999999999</v>
      </c>
      <c r="F150">
        <v>151</v>
      </c>
    </row>
    <row r="151" spans="1:6" x14ac:dyDescent="0.25">
      <c r="A151" s="3">
        <v>2</v>
      </c>
      <c r="B151" s="3">
        <v>221</v>
      </c>
      <c r="C151" s="2">
        <v>28</v>
      </c>
      <c r="D151" s="3">
        <v>1.958</v>
      </c>
      <c r="E151" s="5">
        <v>1.2701578950000001</v>
      </c>
      <c r="F151">
        <v>148</v>
      </c>
    </row>
    <row r="152" spans="1:6" x14ac:dyDescent="0.25">
      <c r="A152" s="3">
        <v>4</v>
      </c>
      <c r="B152" s="3">
        <v>194</v>
      </c>
      <c r="C152" s="2">
        <v>48</v>
      </c>
      <c r="D152" s="3">
        <v>1.9710000000000001</v>
      </c>
      <c r="E152" s="5">
        <v>1.331485714</v>
      </c>
      <c r="F152">
        <v>150</v>
      </c>
    </row>
    <row r="153" spans="1:6" x14ac:dyDescent="0.25">
      <c r="A153" s="3">
        <v>4</v>
      </c>
      <c r="B153" s="3">
        <v>158</v>
      </c>
      <c r="C153" s="2">
        <v>28</v>
      </c>
      <c r="D153" s="3">
        <v>2.0129999999999999</v>
      </c>
      <c r="E153" s="5">
        <v>1.3734857139999999</v>
      </c>
      <c r="F153">
        <v>152</v>
      </c>
    </row>
    <row r="154" spans="1:6" x14ac:dyDescent="0.25">
      <c r="A154" s="3">
        <v>2</v>
      </c>
      <c r="B154" s="3">
        <v>99</v>
      </c>
      <c r="C154" s="2">
        <v>28.2</v>
      </c>
      <c r="D154" s="3">
        <v>2.101</v>
      </c>
      <c r="E154" s="5">
        <v>1.4131578949999999</v>
      </c>
      <c r="F154">
        <v>153</v>
      </c>
    </row>
    <row r="155" spans="1:6" x14ac:dyDescent="0.25">
      <c r="A155" s="3">
        <v>3</v>
      </c>
      <c r="B155" s="3">
        <v>295</v>
      </c>
      <c r="C155" s="2">
        <v>39</v>
      </c>
      <c r="D155" s="3">
        <v>2.16</v>
      </c>
      <c r="E155" s="5">
        <v>1.5419</v>
      </c>
      <c r="F155">
        <v>154</v>
      </c>
    </row>
    <row r="156" spans="1:6" x14ac:dyDescent="0.25">
      <c r="A156" s="3">
        <v>3</v>
      </c>
      <c r="B156" s="3">
        <v>298</v>
      </c>
      <c r="C156" s="2">
        <v>57.2</v>
      </c>
      <c r="D156" s="3">
        <v>2.1739999999999999</v>
      </c>
      <c r="E156" s="5">
        <v>1.5558999999999998</v>
      </c>
      <c r="F156">
        <v>155</v>
      </c>
    </row>
    <row r="157" spans="1:6" x14ac:dyDescent="0.25">
      <c r="A157" s="3">
        <v>1</v>
      </c>
      <c r="B157" s="3">
        <v>145</v>
      </c>
      <c r="C157" s="2">
        <v>46.4</v>
      </c>
      <c r="D157" s="3">
        <v>3.383</v>
      </c>
      <c r="E157" s="5">
        <v>2.7972972970000001</v>
      </c>
      <c r="F157">
        <v>156</v>
      </c>
    </row>
  </sheetData>
  <sortState xmlns:xlrd2="http://schemas.microsoft.com/office/spreadsheetml/2017/richdata2" ref="A2:F157">
    <sortCondition ref="D2:D157"/>
  </sortState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8D44-B46A-4189-B267-5A1E7B26DA6C}">
  <dimension ref="A1:F138"/>
  <sheetViews>
    <sheetView workbookViewId="0">
      <selection activeCell="D2" sqref="D2:D11"/>
    </sheetView>
  </sheetViews>
  <sheetFormatPr defaultColWidth="10.75" defaultRowHeight="15.75" x14ac:dyDescent="0.25"/>
  <cols>
    <col min="1" max="2" width="10.75" style="2"/>
    <col min="3" max="3" width="17" style="2" customWidth="1"/>
    <col min="4" max="4" width="10.75" style="2"/>
    <col min="5" max="5" width="16" style="2" customWidth="1"/>
  </cols>
  <sheetData>
    <row r="1" spans="1:6" x14ac:dyDescent="0.25">
      <c r="A1" s="6" t="s">
        <v>0</v>
      </c>
      <c r="B1" s="6" t="s">
        <v>6</v>
      </c>
      <c r="C1" s="6" t="s">
        <v>11</v>
      </c>
      <c r="D1" s="6" t="s">
        <v>7</v>
      </c>
      <c r="E1" s="6" t="s">
        <v>10</v>
      </c>
      <c r="F1" s="6" t="s">
        <v>12</v>
      </c>
    </row>
    <row r="2" spans="1:6" x14ac:dyDescent="0.25">
      <c r="A2" s="3">
        <v>2</v>
      </c>
      <c r="B2" s="3">
        <v>263</v>
      </c>
      <c r="C2" s="2">
        <v>36.799999999999997</v>
      </c>
      <c r="D2" s="3">
        <v>0.01</v>
      </c>
      <c r="E2" s="5">
        <v>-0.67784210499999997</v>
      </c>
      <c r="F2">
        <v>2</v>
      </c>
    </row>
    <row r="3" spans="1:6" x14ac:dyDescent="0.25">
      <c r="A3" s="3">
        <v>2</v>
      </c>
      <c r="B3" s="3">
        <v>267</v>
      </c>
      <c r="C3" s="2">
        <v>73.599999999999994</v>
      </c>
      <c r="D3" s="3">
        <v>2.1999999999999999E-2</v>
      </c>
      <c r="E3" s="5">
        <v>-0.66584210499999996</v>
      </c>
      <c r="F3">
        <v>3</v>
      </c>
    </row>
    <row r="4" spans="1:6" x14ac:dyDescent="0.25">
      <c r="A4" s="3">
        <v>2</v>
      </c>
      <c r="B4" s="3">
        <v>304</v>
      </c>
      <c r="C4" s="2">
        <v>64.2</v>
      </c>
      <c r="D4" s="3">
        <v>2.3E-2</v>
      </c>
      <c r="E4" s="5">
        <v>-0.66484210499999996</v>
      </c>
      <c r="F4">
        <v>4</v>
      </c>
    </row>
    <row r="5" spans="1:6" x14ac:dyDescent="0.25">
      <c r="A5" s="3">
        <v>5</v>
      </c>
      <c r="B5" s="3">
        <v>169</v>
      </c>
      <c r="C5" s="2">
        <v>28.2</v>
      </c>
      <c r="D5" s="3">
        <v>2E-3</v>
      </c>
      <c r="E5" s="5">
        <v>-0.64482456099999996</v>
      </c>
      <c r="F5">
        <v>5</v>
      </c>
    </row>
    <row r="6" spans="1:6" x14ac:dyDescent="0.25">
      <c r="A6" s="3">
        <v>2</v>
      </c>
      <c r="B6" s="3">
        <v>110</v>
      </c>
      <c r="C6" s="2">
        <v>31.6</v>
      </c>
      <c r="D6" s="3">
        <v>4.4999999999999998E-2</v>
      </c>
      <c r="E6" s="5">
        <v>-0.64284210499999994</v>
      </c>
      <c r="F6">
        <v>6</v>
      </c>
    </row>
    <row r="7" spans="1:6" x14ac:dyDescent="0.25">
      <c r="A7" s="3">
        <v>5</v>
      </c>
      <c r="B7" s="3">
        <v>211</v>
      </c>
      <c r="C7" s="2">
        <v>21.8</v>
      </c>
      <c r="D7" s="3">
        <v>4.0000000000000001E-3</v>
      </c>
      <c r="E7" s="5">
        <v>-0.64282456099999996</v>
      </c>
      <c r="F7">
        <v>7</v>
      </c>
    </row>
    <row r="8" spans="1:6" x14ac:dyDescent="0.25">
      <c r="A8" s="3">
        <v>2</v>
      </c>
      <c r="B8" s="3">
        <v>17</v>
      </c>
      <c r="C8" s="2">
        <v>31.4</v>
      </c>
      <c r="D8" s="3">
        <v>5.0999999999999997E-2</v>
      </c>
      <c r="E8" s="5">
        <v>-0.63684210499999994</v>
      </c>
      <c r="F8">
        <v>8</v>
      </c>
    </row>
    <row r="9" spans="1:6" x14ac:dyDescent="0.25">
      <c r="A9" s="3">
        <v>2</v>
      </c>
      <c r="B9" s="3">
        <v>282</v>
      </c>
      <c r="C9" s="2">
        <v>51.2</v>
      </c>
      <c r="D9" s="3">
        <v>5.2999999999999999E-2</v>
      </c>
      <c r="E9" s="5">
        <v>-0.63484210499999993</v>
      </c>
      <c r="F9">
        <v>9</v>
      </c>
    </row>
    <row r="10" spans="1:6" x14ac:dyDescent="0.25">
      <c r="A10" s="3">
        <v>2</v>
      </c>
      <c r="B10" s="3">
        <v>101</v>
      </c>
      <c r="C10" s="2">
        <v>25.6</v>
      </c>
      <c r="D10" s="3">
        <v>5.7000000000000002E-2</v>
      </c>
      <c r="E10" s="5">
        <v>-0.63084210499999993</v>
      </c>
      <c r="F10">
        <v>10</v>
      </c>
    </row>
    <row r="11" spans="1:6" x14ac:dyDescent="0.25">
      <c r="A11" s="3">
        <v>4</v>
      </c>
      <c r="B11" s="3">
        <v>320</v>
      </c>
      <c r="C11" s="2">
        <v>65.8</v>
      </c>
      <c r="D11" s="3">
        <v>8.9999999999999993E-3</v>
      </c>
      <c r="E11" s="5">
        <v>-0.63051428600000003</v>
      </c>
      <c r="F11">
        <v>11</v>
      </c>
    </row>
    <row r="12" spans="1:6" x14ac:dyDescent="0.25">
      <c r="A12" s="3">
        <v>5</v>
      </c>
      <c r="B12" s="3">
        <v>92</v>
      </c>
      <c r="C12" s="2">
        <v>37.200000000000003</v>
      </c>
      <c r="D12" s="3">
        <v>2.1000000000000001E-2</v>
      </c>
      <c r="E12" s="5">
        <v>-0.62582456099999995</v>
      </c>
      <c r="F12">
        <v>12</v>
      </c>
    </row>
    <row r="13" spans="1:6" x14ac:dyDescent="0.25">
      <c r="A13" s="3">
        <v>4</v>
      </c>
      <c r="B13" s="3">
        <v>149</v>
      </c>
      <c r="C13" s="2">
        <v>30.2</v>
      </c>
      <c r="D13" s="3">
        <v>1.6E-2</v>
      </c>
      <c r="E13" s="5">
        <v>-0.62351428600000003</v>
      </c>
      <c r="F13">
        <v>13</v>
      </c>
    </row>
    <row r="14" spans="1:6" x14ac:dyDescent="0.25">
      <c r="A14" s="3">
        <v>4</v>
      </c>
      <c r="B14" s="3">
        <v>123</v>
      </c>
      <c r="C14" s="2">
        <v>31.4</v>
      </c>
      <c r="D14" s="3">
        <v>1.7999999999999999E-2</v>
      </c>
      <c r="E14" s="5">
        <v>-0.62151428600000003</v>
      </c>
      <c r="F14">
        <v>15</v>
      </c>
    </row>
    <row r="15" spans="1:6" x14ac:dyDescent="0.25">
      <c r="A15" s="3">
        <v>3</v>
      </c>
      <c r="B15" s="3">
        <v>117</v>
      </c>
      <c r="C15" s="2">
        <v>42.4</v>
      </c>
      <c r="D15" s="3">
        <v>1E-3</v>
      </c>
      <c r="E15" s="5">
        <v>-0.61709999999999998</v>
      </c>
      <c r="F15">
        <v>16</v>
      </c>
    </row>
    <row r="16" spans="1:6" x14ac:dyDescent="0.25">
      <c r="A16" s="3">
        <v>5</v>
      </c>
      <c r="B16" s="3">
        <v>187</v>
      </c>
      <c r="C16" s="2">
        <v>43.2</v>
      </c>
      <c r="D16" s="3">
        <v>0.03</v>
      </c>
      <c r="E16" s="5">
        <v>-0.61682456099999994</v>
      </c>
      <c r="F16">
        <v>17</v>
      </c>
    </row>
    <row r="17" spans="1:6" x14ac:dyDescent="0.25">
      <c r="A17" s="3">
        <v>2</v>
      </c>
      <c r="B17" s="3">
        <v>329</v>
      </c>
      <c r="C17" s="2">
        <v>39.6</v>
      </c>
      <c r="D17" s="3">
        <v>7.5999999999999998E-2</v>
      </c>
      <c r="E17" s="5">
        <v>-0.61184210500000002</v>
      </c>
      <c r="F17">
        <v>18</v>
      </c>
    </row>
    <row r="18" spans="1:6" x14ac:dyDescent="0.25">
      <c r="A18" s="3">
        <v>4</v>
      </c>
      <c r="B18" s="3">
        <v>234</v>
      </c>
      <c r="C18" s="2">
        <v>66.599999999999994</v>
      </c>
      <c r="D18" s="3">
        <v>3.4000000000000002E-2</v>
      </c>
      <c r="E18" s="5">
        <v>-0.60551428600000001</v>
      </c>
      <c r="F18">
        <v>20</v>
      </c>
    </row>
    <row r="19" spans="1:6" x14ac:dyDescent="0.25">
      <c r="A19" s="3">
        <v>4</v>
      </c>
      <c r="B19" s="3">
        <v>247</v>
      </c>
      <c r="C19" s="2">
        <v>31.2</v>
      </c>
      <c r="D19" s="3">
        <v>0.04</v>
      </c>
      <c r="E19" s="5">
        <v>-0.59951428600000001</v>
      </c>
      <c r="F19">
        <v>22</v>
      </c>
    </row>
    <row r="20" spans="1:6" x14ac:dyDescent="0.25">
      <c r="A20" s="3">
        <v>4</v>
      </c>
      <c r="B20" s="3">
        <v>125</v>
      </c>
      <c r="C20" s="2">
        <v>19.899999999999999</v>
      </c>
      <c r="D20" s="3">
        <v>4.3999999999999997E-2</v>
      </c>
      <c r="E20" s="5">
        <v>-0.595514286</v>
      </c>
      <c r="F20">
        <v>23</v>
      </c>
    </row>
    <row r="21" spans="1:6" x14ac:dyDescent="0.25">
      <c r="A21" s="3">
        <v>2</v>
      </c>
      <c r="B21" s="3">
        <v>58</v>
      </c>
      <c r="C21" s="2">
        <v>40.6</v>
      </c>
      <c r="D21" s="3">
        <v>9.2999999999999999E-2</v>
      </c>
      <c r="E21" s="5">
        <v>-0.59484210500000001</v>
      </c>
      <c r="F21">
        <v>24</v>
      </c>
    </row>
    <row r="22" spans="1:6" x14ac:dyDescent="0.25">
      <c r="A22" s="3">
        <v>3</v>
      </c>
      <c r="B22" s="3">
        <v>159</v>
      </c>
      <c r="C22" s="2">
        <v>39.799999999999997</v>
      </c>
      <c r="D22" s="3">
        <v>2.5000000000000001E-2</v>
      </c>
      <c r="E22" s="5">
        <v>-0.59309999999999996</v>
      </c>
      <c r="F22">
        <v>25</v>
      </c>
    </row>
    <row r="23" spans="1:6" x14ac:dyDescent="0.25">
      <c r="A23" s="3">
        <v>2</v>
      </c>
      <c r="B23" s="3">
        <v>170</v>
      </c>
      <c r="C23" s="2">
        <v>42.4</v>
      </c>
      <c r="D23" s="3">
        <v>9.6000000000000002E-2</v>
      </c>
      <c r="E23" s="5">
        <v>-0.59184210500000001</v>
      </c>
      <c r="F23">
        <v>26</v>
      </c>
    </row>
    <row r="24" spans="1:6" x14ac:dyDescent="0.25">
      <c r="A24" s="3">
        <v>2</v>
      </c>
      <c r="B24" s="3">
        <v>53</v>
      </c>
      <c r="C24" s="2">
        <v>27.6</v>
      </c>
      <c r="D24" s="3">
        <v>9.8000000000000004E-2</v>
      </c>
      <c r="E24" s="5">
        <v>-0.58984210500000001</v>
      </c>
      <c r="F24">
        <v>27</v>
      </c>
    </row>
    <row r="25" spans="1:6" x14ac:dyDescent="0.25">
      <c r="A25" s="3">
        <v>2</v>
      </c>
      <c r="B25" s="3">
        <v>57</v>
      </c>
      <c r="C25" s="2">
        <v>43</v>
      </c>
      <c r="D25" s="3">
        <v>9.9000000000000005E-2</v>
      </c>
      <c r="E25" s="5">
        <v>-0.588842105</v>
      </c>
      <c r="F25">
        <v>28</v>
      </c>
    </row>
    <row r="26" spans="1:6" x14ac:dyDescent="0.25">
      <c r="A26" s="3">
        <v>4</v>
      </c>
      <c r="B26" s="3">
        <v>203</v>
      </c>
      <c r="C26" s="2">
        <v>52.4</v>
      </c>
      <c r="D26" s="3">
        <v>5.0999999999999997E-2</v>
      </c>
      <c r="E26" s="5">
        <v>-0.588514286</v>
      </c>
      <c r="F26">
        <v>29</v>
      </c>
    </row>
    <row r="27" spans="1:6" x14ac:dyDescent="0.25">
      <c r="A27" s="3">
        <v>4</v>
      </c>
      <c r="B27" s="3">
        <v>296</v>
      </c>
      <c r="C27" s="2">
        <v>43.6</v>
      </c>
      <c r="D27" s="3">
        <v>5.5E-2</v>
      </c>
      <c r="E27" s="5">
        <v>-0.58451428599999999</v>
      </c>
      <c r="F27">
        <v>30</v>
      </c>
    </row>
    <row r="28" spans="1:6" x14ac:dyDescent="0.25">
      <c r="A28" s="3">
        <v>3</v>
      </c>
      <c r="B28" s="3">
        <v>297</v>
      </c>
      <c r="C28" s="2">
        <v>94</v>
      </c>
      <c r="D28" s="3">
        <v>3.4000000000000002E-2</v>
      </c>
      <c r="E28" s="5">
        <v>-0.58409999999999995</v>
      </c>
      <c r="F28">
        <v>31</v>
      </c>
    </row>
    <row r="29" spans="1:6" x14ac:dyDescent="0.25">
      <c r="A29" s="3">
        <v>5</v>
      </c>
      <c r="B29" s="3">
        <v>323</v>
      </c>
      <c r="C29" s="2">
        <v>57.4</v>
      </c>
      <c r="D29" s="3">
        <v>6.6000000000000003E-2</v>
      </c>
      <c r="E29" s="5">
        <v>-0.58082456100000002</v>
      </c>
      <c r="F29">
        <v>32</v>
      </c>
    </row>
    <row r="30" spans="1:6" x14ac:dyDescent="0.25">
      <c r="A30" s="3">
        <v>3</v>
      </c>
      <c r="B30" s="3">
        <v>157</v>
      </c>
      <c r="C30" s="2">
        <v>36</v>
      </c>
      <c r="D30" s="3">
        <v>4.1000000000000002E-2</v>
      </c>
      <c r="E30" s="5">
        <v>-0.57709999999999995</v>
      </c>
      <c r="F30">
        <v>33</v>
      </c>
    </row>
    <row r="31" spans="1:6" x14ac:dyDescent="0.25">
      <c r="A31" s="3">
        <v>1</v>
      </c>
      <c r="B31" s="3">
        <v>255</v>
      </c>
      <c r="C31" s="2">
        <v>39.799999999999997</v>
      </c>
      <c r="D31" s="3">
        <v>1.2E-2</v>
      </c>
      <c r="E31" s="5">
        <v>-0.57370270300000004</v>
      </c>
      <c r="F31">
        <v>34</v>
      </c>
    </row>
    <row r="32" spans="1:6" x14ac:dyDescent="0.25">
      <c r="A32" s="3">
        <v>4</v>
      </c>
      <c r="B32" s="3">
        <v>243</v>
      </c>
      <c r="C32" s="2">
        <v>35</v>
      </c>
      <c r="D32" s="3">
        <v>6.7000000000000004E-2</v>
      </c>
      <c r="E32" s="5">
        <v>-0.57251428600000009</v>
      </c>
      <c r="F32">
        <v>35</v>
      </c>
    </row>
    <row r="33" spans="1:6" x14ac:dyDescent="0.25">
      <c r="A33" s="3">
        <v>4</v>
      </c>
      <c r="B33" s="3">
        <v>196</v>
      </c>
      <c r="C33" s="2">
        <v>51.8</v>
      </c>
      <c r="D33" s="3">
        <v>7.8E-2</v>
      </c>
      <c r="E33" s="5">
        <v>-0.56151428600000008</v>
      </c>
      <c r="F33">
        <v>39</v>
      </c>
    </row>
    <row r="34" spans="1:6" x14ac:dyDescent="0.25">
      <c r="A34" s="3">
        <v>3</v>
      </c>
      <c r="B34" s="3">
        <v>160</v>
      </c>
      <c r="C34" s="2">
        <v>43.2</v>
      </c>
      <c r="D34" s="3">
        <v>5.7000000000000002E-2</v>
      </c>
      <c r="E34" s="5">
        <v>-0.56109999999999993</v>
      </c>
      <c r="F34">
        <v>40</v>
      </c>
    </row>
    <row r="35" spans="1:6" x14ac:dyDescent="0.25">
      <c r="A35" s="3">
        <v>1</v>
      </c>
      <c r="B35" s="3">
        <v>277</v>
      </c>
      <c r="C35" s="2">
        <v>49.2</v>
      </c>
      <c r="D35" s="3">
        <v>2.7E-2</v>
      </c>
      <c r="E35" s="5">
        <v>-0.55870270300000002</v>
      </c>
      <c r="F35">
        <v>41</v>
      </c>
    </row>
    <row r="36" spans="1:6" x14ac:dyDescent="0.25">
      <c r="A36" s="3">
        <v>3</v>
      </c>
      <c r="B36" s="3">
        <v>174</v>
      </c>
      <c r="C36" s="2">
        <v>52</v>
      </c>
      <c r="D36" s="3">
        <v>6.3E-2</v>
      </c>
      <c r="E36" s="5">
        <v>-0.55509999999999993</v>
      </c>
      <c r="F36">
        <v>42</v>
      </c>
    </row>
    <row r="37" spans="1:6" x14ac:dyDescent="0.25">
      <c r="A37" s="3">
        <v>1</v>
      </c>
      <c r="B37" s="3">
        <v>147</v>
      </c>
      <c r="C37" s="2">
        <v>27.8</v>
      </c>
      <c r="D37" s="3">
        <v>3.1E-2</v>
      </c>
      <c r="E37" s="5">
        <v>-0.55470270300000002</v>
      </c>
      <c r="F37">
        <v>43</v>
      </c>
    </row>
    <row r="38" spans="1:6" x14ac:dyDescent="0.25">
      <c r="A38" s="3">
        <v>4</v>
      </c>
      <c r="B38" s="3">
        <v>138</v>
      </c>
      <c r="C38" s="2">
        <v>42</v>
      </c>
      <c r="D38" s="3">
        <v>8.7999999999999995E-2</v>
      </c>
      <c r="E38" s="5">
        <v>-0.55151428600000008</v>
      </c>
      <c r="F38">
        <v>45</v>
      </c>
    </row>
    <row r="39" spans="1:6" x14ac:dyDescent="0.25">
      <c r="A39" s="3">
        <v>4</v>
      </c>
      <c r="B39" s="3">
        <v>52</v>
      </c>
      <c r="C39" s="2">
        <v>25.8</v>
      </c>
      <c r="D39" s="3">
        <v>0.09</v>
      </c>
      <c r="E39" s="5">
        <v>-0.54951428600000007</v>
      </c>
      <c r="F39">
        <v>46</v>
      </c>
    </row>
    <row r="40" spans="1:6" x14ac:dyDescent="0.25">
      <c r="A40" s="3">
        <v>4</v>
      </c>
      <c r="B40" s="3">
        <v>186</v>
      </c>
      <c r="C40" s="2">
        <v>44.2</v>
      </c>
      <c r="D40" s="3">
        <v>0.09</v>
      </c>
      <c r="E40" s="5">
        <v>-0.54951428600000007</v>
      </c>
      <c r="F40">
        <v>47</v>
      </c>
    </row>
    <row r="41" spans="1:6" x14ac:dyDescent="0.25">
      <c r="A41" s="3">
        <v>4</v>
      </c>
      <c r="B41" s="3">
        <v>150</v>
      </c>
      <c r="C41" s="2">
        <v>63.2</v>
      </c>
      <c r="D41" s="3">
        <v>0.10100000000000001</v>
      </c>
      <c r="E41" s="5">
        <v>-0.53851428600000006</v>
      </c>
      <c r="F41">
        <v>49</v>
      </c>
    </row>
    <row r="42" spans="1:6" x14ac:dyDescent="0.25">
      <c r="A42" s="3">
        <v>3</v>
      </c>
      <c r="B42" s="3">
        <v>109</v>
      </c>
      <c r="C42" s="2">
        <v>32</v>
      </c>
      <c r="D42" s="3">
        <v>0.08</v>
      </c>
      <c r="E42" s="5">
        <v>-0.53810000000000002</v>
      </c>
      <c r="F42">
        <v>50</v>
      </c>
    </row>
    <row r="43" spans="1:6" x14ac:dyDescent="0.25">
      <c r="A43" s="3">
        <v>1</v>
      </c>
      <c r="B43" s="3">
        <v>24</v>
      </c>
      <c r="C43" s="2">
        <v>44.8</v>
      </c>
      <c r="D43" s="3">
        <v>4.8000000000000001E-2</v>
      </c>
      <c r="E43" s="5">
        <v>-0.537702703</v>
      </c>
      <c r="F43">
        <v>51</v>
      </c>
    </row>
    <row r="44" spans="1:6" x14ac:dyDescent="0.25">
      <c r="A44" s="3">
        <v>5</v>
      </c>
      <c r="B44" s="3">
        <v>80</v>
      </c>
      <c r="C44" s="2">
        <v>29.6</v>
      </c>
      <c r="D44" s="3">
        <v>0.111</v>
      </c>
      <c r="E44" s="5">
        <v>-0.53582456099999998</v>
      </c>
      <c r="F44">
        <v>52</v>
      </c>
    </row>
    <row r="45" spans="1:6" x14ac:dyDescent="0.25">
      <c r="A45" s="3">
        <v>5</v>
      </c>
      <c r="B45" s="3">
        <v>171</v>
      </c>
      <c r="C45" s="2">
        <v>46.4</v>
      </c>
      <c r="D45" s="3">
        <v>0.122</v>
      </c>
      <c r="E45" s="5">
        <v>-0.52482456099999997</v>
      </c>
      <c r="F45">
        <v>53</v>
      </c>
    </row>
    <row r="46" spans="1:6" x14ac:dyDescent="0.25">
      <c r="A46" s="3">
        <v>1</v>
      </c>
      <c r="B46" s="3">
        <v>121</v>
      </c>
      <c r="C46" s="2">
        <v>75.8</v>
      </c>
      <c r="D46" s="3">
        <v>6.3E-2</v>
      </c>
      <c r="E46" s="5">
        <v>-0.52270270299999999</v>
      </c>
      <c r="F46">
        <v>54</v>
      </c>
    </row>
    <row r="47" spans="1:6" x14ac:dyDescent="0.25">
      <c r="A47" s="3">
        <v>4</v>
      </c>
      <c r="B47" s="3">
        <v>225</v>
      </c>
      <c r="C47" s="2">
        <v>66</v>
      </c>
      <c r="D47" s="3">
        <v>0.122</v>
      </c>
      <c r="E47" s="5">
        <v>-0.51751428600000005</v>
      </c>
      <c r="F47">
        <v>55</v>
      </c>
    </row>
    <row r="48" spans="1:6" x14ac:dyDescent="0.25">
      <c r="A48" s="3">
        <v>1</v>
      </c>
      <c r="B48" s="3">
        <v>270</v>
      </c>
      <c r="C48" s="2">
        <v>93.4</v>
      </c>
      <c r="D48" s="3">
        <v>6.9000000000000006E-2</v>
      </c>
      <c r="E48" s="5">
        <v>-0.51670270299999999</v>
      </c>
      <c r="F48">
        <v>56</v>
      </c>
    </row>
    <row r="49" spans="1:6" x14ac:dyDescent="0.25">
      <c r="A49" s="3">
        <v>3</v>
      </c>
      <c r="B49" s="3">
        <v>112</v>
      </c>
      <c r="C49" s="2">
        <v>20</v>
      </c>
      <c r="D49" s="3">
        <v>0.108</v>
      </c>
      <c r="E49" s="5">
        <v>-0.5101</v>
      </c>
      <c r="F49">
        <v>57</v>
      </c>
    </row>
    <row r="50" spans="1:6" x14ac:dyDescent="0.25">
      <c r="A50" s="3">
        <v>1</v>
      </c>
      <c r="B50" s="3">
        <v>288</v>
      </c>
      <c r="C50" s="2">
        <v>44.4</v>
      </c>
      <c r="D50" s="3">
        <v>8.5000000000000006E-2</v>
      </c>
      <c r="E50" s="5">
        <v>-0.50070270300000008</v>
      </c>
      <c r="F50">
        <v>59</v>
      </c>
    </row>
    <row r="51" spans="1:6" x14ac:dyDescent="0.25">
      <c r="A51" s="3">
        <v>3</v>
      </c>
      <c r="B51" s="3">
        <v>28</v>
      </c>
      <c r="C51" s="2">
        <v>22.2</v>
      </c>
      <c r="D51" s="3">
        <v>0.122</v>
      </c>
      <c r="E51" s="5">
        <v>-0.49609999999999999</v>
      </c>
      <c r="F51">
        <v>61</v>
      </c>
    </row>
    <row r="52" spans="1:6" x14ac:dyDescent="0.25">
      <c r="A52" s="3">
        <v>5</v>
      </c>
      <c r="B52" s="3">
        <v>49</v>
      </c>
      <c r="C52" s="2">
        <v>20.399999999999999</v>
      </c>
      <c r="D52" s="3">
        <v>0.153</v>
      </c>
      <c r="E52" s="5">
        <v>-0.49382456099999994</v>
      </c>
      <c r="F52">
        <v>62</v>
      </c>
    </row>
    <row r="53" spans="1:6" x14ac:dyDescent="0.25">
      <c r="A53" s="3">
        <v>3</v>
      </c>
      <c r="B53" s="3">
        <v>19</v>
      </c>
      <c r="C53" s="2">
        <v>35.200000000000003</v>
      </c>
      <c r="D53" s="3">
        <v>0.127</v>
      </c>
      <c r="E53" s="5">
        <v>-0.49109999999999998</v>
      </c>
      <c r="F53">
        <v>63</v>
      </c>
    </row>
    <row r="54" spans="1:6" x14ac:dyDescent="0.25">
      <c r="A54" s="3">
        <v>1</v>
      </c>
      <c r="B54" s="3">
        <v>287</v>
      </c>
      <c r="C54" s="2">
        <v>110</v>
      </c>
      <c r="D54" s="3">
        <v>9.7000000000000003E-2</v>
      </c>
      <c r="E54" s="5">
        <v>-0.48870270300000007</v>
      </c>
      <c r="F54">
        <v>64</v>
      </c>
    </row>
    <row r="55" spans="1:6" x14ac:dyDescent="0.25">
      <c r="A55" s="3">
        <v>3</v>
      </c>
      <c r="B55" s="3">
        <v>9</v>
      </c>
      <c r="C55" s="2">
        <v>20.8</v>
      </c>
      <c r="D55" s="3">
        <v>0.13500000000000001</v>
      </c>
      <c r="E55" s="5">
        <v>-0.48309999999999997</v>
      </c>
      <c r="F55">
        <v>65</v>
      </c>
    </row>
    <row r="56" spans="1:6" x14ac:dyDescent="0.25">
      <c r="A56" s="3">
        <v>5</v>
      </c>
      <c r="B56" s="3">
        <v>183</v>
      </c>
      <c r="C56" s="2">
        <v>35.4</v>
      </c>
      <c r="D56" s="3">
        <v>0.16400000000000001</v>
      </c>
      <c r="E56" s="5">
        <v>-0.48282456099999993</v>
      </c>
      <c r="F56">
        <v>66</v>
      </c>
    </row>
    <row r="57" spans="1:6" x14ac:dyDescent="0.25">
      <c r="A57" s="3">
        <v>1</v>
      </c>
      <c r="B57" s="3">
        <v>233</v>
      </c>
      <c r="C57" s="2">
        <v>25.6</v>
      </c>
      <c r="D57" s="3">
        <v>0.109</v>
      </c>
      <c r="E57" s="5">
        <v>-0.47670270300000006</v>
      </c>
      <c r="F57">
        <v>67</v>
      </c>
    </row>
    <row r="58" spans="1:6" x14ac:dyDescent="0.25">
      <c r="A58" s="3">
        <v>1</v>
      </c>
      <c r="B58" s="3">
        <v>273</v>
      </c>
      <c r="C58" s="2">
        <v>43.2</v>
      </c>
      <c r="D58" s="3">
        <v>0.13200000000000001</v>
      </c>
      <c r="E58" s="5">
        <v>-0.45370270300000004</v>
      </c>
      <c r="F58">
        <v>68</v>
      </c>
    </row>
    <row r="59" spans="1:6" x14ac:dyDescent="0.25">
      <c r="A59" s="3">
        <v>5</v>
      </c>
      <c r="B59" s="3">
        <v>64</v>
      </c>
      <c r="C59" s="2">
        <v>20.399999999999999</v>
      </c>
      <c r="D59" s="3">
        <v>0.19500000000000001</v>
      </c>
      <c r="E59" s="5">
        <v>-0.45182456099999996</v>
      </c>
      <c r="F59">
        <v>69</v>
      </c>
    </row>
    <row r="60" spans="1:6" x14ac:dyDescent="0.25">
      <c r="A60" s="3">
        <v>1</v>
      </c>
      <c r="B60" s="3">
        <v>214</v>
      </c>
      <c r="C60" s="2">
        <v>62</v>
      </c>
      <c r="D60" s="3">
        <v>0.14000000000000001</v>
      </c>
      <c r="E60" s="5">
        <v>-0.44570270300000003</v>
      </c>
      <c r="F60">
        <v>70</v>
      </c>
    </row>
    <row r="61" spans="1:6" x14ac:dyDescent="0.25">
      <c r="A61" s="3">
        <v>5</v>
      </c>
      <c r="B61" s="3">
        <v>303</v>
      </c>
      <c r="C61" s="2">
        <v>59.2</v>
      </c>
      <c r="D61" s="3">
        <v>0.20699999999999999</v>
      </c>
      <c r="E61" s="5">
        <v>-0.439824561</v>
      </c>
      <c r="F61">
        <v>71</v>
      </c>
    </row>
    <row r="62" spans="1:6" x14ac:dyDescent="0.25">
      <c r="A62" s="3">
        <v>1</v>
      </c>
      <c r="B62" s="3">
        <v>94</v>
      </c>
      <c r="C62" s="2">
        <v>33</v>
      </c>
      <c r="D62" s="3">
        <v>0.159</v>
      </c>
      <c r="E62" s="5">
        <v>-0.42670270300000002</v>
      </c>
      <c r="F62">
        <v>72</v>
      </c>
    </row>
    <row r="63" spans="1:6" x14ac:dyDescent="0.25">
      <c r="A63" s="3">
        <v>5</v>
      </c>
      <c r="B63" s="3">
        <v>210</v>
      </c>
      <c r="C63" s="2">
        <v>36</v>
      </c>
      <c r="D63" s="3">
        <v>0.223</v>
      </c>
      <c r="E63" s="5">
        <v>-0.42382456099999999</v>
      </c>
      <c r="F63">
        <v>73</v>
      </c>
    </row>
    <row r="64" spans="1:6" x14ac:dyDescent="0.25">
      <c r="A64" s="3">
        <v>1</v>
      </c>
      <c r="B64" s="3">
        <v>283</v>
      </c>
      <c r="C64" s="2">
        <v>75.2</v>
      </c>
      <c r="D64" s="3">
        <v>0.16600000000000001</v>
      </c>
      <c r="E64" s="5">
        <v>-0.41970270300000001</v>
      </c>
      <c r="F64">
        <v>74</v>
      </c>
    </row>
    <row r="65" spans="1:6" x14ac:dyDescent="0.25">
      <c r="A65" s="3">
        <v>1</v>
      </c>
      <c r="B65" s="3">
        <v>204</v>
      </c>
      <c r="C65" s="2">
        <v>65.2</v>
      </c>
      <c r="D65" s="3">
        <v>0.17799999999999999</v>
      </c>
      <c r="E65" s="5">
        <v>-0.40770270300000006</v>
      </c>
      <c r="F65">
        <v>76</v>
      </c>
    </row>
    <row r="66" spans="1:6" s="14" customFormat="1" ht="16.5" thickBot="1" x14ac:dyDescent="0.3">
      <c r="A66" s="12">
        <v>1</v>
      </c>
      <c r="B66" s="12">
        <v>256</v>
      </c>
      <c r="C66" s="16">
        <v>21.4</v>
      </c>
      <c r="D66" s="12">
        <v>0.17899999999999999</v>
      </c>
      <c r="E66" s="13">
        <v>-0.40670270300000005</v>
      </c>
      <c r="F66" s="14">
        <v>77</v>
      </c>
    </row>
    <row r="67" spans="1:6" x14ac:dyDescent="0.25">
      <c r="A67" s="3">
        <v>1</v>
      </c>
      <c r="B67" s="3">
        <v>285</v>
      </c>
      <c r="C67" s="2">
        <v>61.2</v>
      </c>
      <c r="D67" s="3">
        <v>0.73199999999999998</v>
      </c>
      <c r="E67" s="5">
        <v>0.14629729699999994</v>
      </c>
      <c r="F67">
        <v>79</v>
      </c>
    </row>
    <row r="68" spans="1:6" x14ac:dyDescent="0.25">
      <c r="A68" s="3">
        <v>1</v>
      </c>
      <c r="B68" s="3">
        <v>146</v>
      </c>
      <c r="C68" s="2">
        <v>31.8</v>
      </c>
      <c r="D68" s="3">
        <v>0.752</v>
      </c>
      <c r="E68" s="5">
        <v>0.16629729699999996</v>
      </c>
      <c r="F68">
        <v>80</v>
      </c>
    </row>
    <row r="69" spans="1:6" x14ac:dyDescent="0.25">
      <c r="A69" s="3">
        <v>1</v>
      </c>
      <c r="B69" s="3">
        <v>132</v>
      </c>
      <c r="C69" s="2">
        <v>40.200000000000003</v>
      </c>
      <c r="D69" s="3">
        <v>0.83599999999999997</v>
      </c>
      <c r="E69" s="5">
        <v>0.25029729699999992</v>
      </c>
      <c r="F69">
        <v>81</v>
      </c>
    </row>
    <row r="70" spans="1:6" x14ac:dyDescent="0.25">
      <c r="A70" s="3">
        <v>1</v>
      </c>
      <c r="B70" s="3">
        <v>72</v>
      </c>
      <c r="C70" s="2">
        <v>29.4</v>
      </c>
      <c r="D70" s="3">
        <v>0.84199999999999997</v>
      </c>
      <c r="E70" s="5">
        <v>0.25629729699999992</v>
      </c>
      <c r="F70">
        <v>82</v>
      </c>
    </row>
    <row r="71" spans="1:6" x14ac:dyDescent="0.25">
      <c r="A71" s="3">
        <v>1</v>
      </c>
      <c r="B71" s="3">
        <v>222</v>
      </c>
      <c r="C71" s="2">
        <v>41</v>
      </c>
      <c r="D71" s="3">
        <v>0.86899999999999999</v>
      </c>
      <c r="E71" s="5">
        <v>0.28329729699999995</v>
      </c>
      <c r="F71">
        <v>83</v>
      </c>
    </row>
    <row r="72" spans="1:6" x14ac:dyDescent="0.25">
      <c r="A72" s="3">
        <v>1</v>
      </c>
      <c r="B72" s="3">
        <v>131</v>
      </c>
      <c r="C72" s="2">
        <v>39.799999999999997</v>
      </c>
      <c r="D72" s="3">
        <v>0.874</v>
      </c>
      <c r="E72" s="5">
        <v>0.28829729699999995</v>
      </c>
      <c r="F72">
        <v>84</v>
      </c>
    </row>
    <row r="73" spans="1:6" x14ac:dyDescent="0.25">
      <c r="A73" s="3">
        <v>3</v>
      </c>
      <c r="B73" s="3">
        <v>120</v>
      </c>
      <c r="C73" s="2">
        <v>47.8</v>
      </c>
      <c r="D73" s="3">
        <v>0.91700000000000004</v>
      </c>
      <c r="E73" s="5">
        <v>0.29890000000000005</v>
      </c>
      <c r="F73">
        <v>85</v>
      </c>
    </row>
    <row r="74" spans="1:6" x14ac:dyDescent="0.25">
      <c r="A74" s="3">
        <v>3</v>
      </c>
      <c r="B74" s="3">
        <v>154</v>
      </c>
      <c r="C74" s="2">
        <v>69.2</v>
      </c>
      <c r="D74" s="3">
        <v>0.93400000000000005</v>
      </c>
      <c r="E74" s="5">
        <v>0.31590000000000007</v>
      </c>
      <c r="F74">
        <v>87</v>
      </c>
    </row>
    <row r="75" spans="1:6" x14ac:dyDescent="0.25">
      <c r="A75" s="3">
        <v>1</v>
      </c>
      <c r="B75" s="3">
        <v>116</v>
      </c>
      <c r="C75" s="2">
        <v>50.4</v>
      </c>
      <c r="D75" s="3">
        <v>0.92400000000000004</v>
      </c>
      <c r="E75" s="5">
        <v>0.338297297</v>
      </c>
      <c r="F75">
        <v>88</v>
      </c>
    </row>
    <row r="76" spans="1:6" x14ac:dyDescent="0.25">
      <c r="A76" s="3">
        <v>5</v>
      </c>
      <c r="B76" s="3">
        <v>217</v>
      </c>
      <c r="C76" s="2">
        <v>66</v>
      </c>
      <c r="D76" s="3">
        <v>0.99</v>
      </c>
      <c r="E76" s="5">
        <v>0.34317543900000003</v>
      </c>
      <c r="F76">
        <v>89</v>
      </c>
    </row>
    <row r="77" spans="1:6" x14ac:dyDescent="0.25">
      <c r="A77" s="3">
        <v>3</v>
      </c>
      <c r="B77" s="3">
        <v>293</v>
      </c>
      <c r="C77" s="2">
        <v>80.2</v>
      </c>
      <c r="D77" s="3">
        <v>0.96799999999999997</v>
      </c>
      <c r="E77" s="5">
        <v>0.34989999999999999</v>
      </c>
      <c r="F77">
        <v>90</v>
      </c>
    </row>
    <row r="78" spans="1:6" x14ac:dyDescent="0.25">
      <c r="A78" s="3">
        <v>1</v>
      </c>
      <c r="B78" s="3">
        <v>324</v>
      </c>
      <c r="C78" s="2">
        <v>50.6</v>
      </c>
      <c r="D78" s="3">
        <v>0.93799999999999994</v>
      </c>
      <c r="E78" s="5">
        <v>0.3522972969999999</v>
      </c>
      <c r="F78">
        <v>91</v>
      </c>
    </row>
    <row r="79" spans="1:6" x14ac:dyDescent="0.25">
      <c r="A79" s="3">
        <v>4</v>
      </c>
      <c r="B79" s="3">
        <v>182</v>
      </c>
      <c r="C79" s="2">
        <v>55</v>
      </c>
      <c r="D79" s="3">
        <v>1.0069999999999999</v>
      </c>
      <c r="E79" s="5">
        <v>0.36748571399999985</v>
      </c>
      <c r="F79">
        <v>92</v>
      </c>
    </row>
    <row r="80" spans="1:6" x14ac:dyDescent="0.25">
      <c r="A80" s="3">
        <v>5</v>
      </c>
      <c r="B80" s="3">
        <v>188</v>
      </c>
      <c r="C80" s="2">
        <v>38.6</v>
      </c>
      <c r="D80" s="3">
        <v>1.018</v>
      </c>
      <c r="E80" s="5">
        <v>0.37117543900000005</v>
      </c>
      <c r="F80">
        <v>93</v>
      </c>
    </row>
    <row r="81" spans="1:6" x14ac:dyDescent="0.25">
      <c r="A81" s="3">
        <v>1</v>
      </c>
      <c r="B81" s="3">
        <v>33</v>
      </c>
      <c r="C81" s="2">
        <v>41.8</v>
      </c>
      <c r="D81" s="3">
        <v>0.98899999999999999</v>
      </c>
      <c r="E81" s="5">
        <v>0.40329729699999994</v>
      </c>
      <c r="F81">
        <v>94</v>
      </c>
    </row>
    <row r="82" spans="1:6" x14ac:dyDescent="0.25">
      <c r="A82" s="3">
        <v>4</v>
      </c>
      <c r="B82" s="3">
        <v>140</v>
      </c>
      <c r="C82" s="2">
        <v>126</v>
      </c>
      <c r="D82" s="3">
        <v>1.052</v>
      </c>
      <c r="E82" s="5">
        <v>0.412485714</v>
      </c>
      <c r="F82">
        <v>95</v>
      </c>
    </row>
    <row r="83" spans="1:6" x14ac:dyDescent="0.25">
      <c r="A83" s="3">
        <v>1</v>
      </c>
      <c r="B83" s="3">
        <v>65</v>
      </c>
      <c r="C83" s="2">
        <v>23.6</v>
      </c>
      <c r="D83" s="3">
        <v>1.0089999999999999</v>
      </c>
      <c r="E83" s="5">
        <v>0.42329729699999985</v>
      </c>
      <c r="F83">
        <v>96</v>
      </c>
    </row>
    <row r="84" spans="1:6" x14ac:dyDescent="0.25">
      <c r="A84" s="3">
        <v>5</v>
      </c>
      <c r="B84" s="3">
        <v>141</v>
      </c>
      <c r="C84" s="2">
        <v>22</v>
      </c>
      <c r="D84" s="3">
        <v>1.0920000000000001</v>
      </c>
      <c r="E84" s="5">
        <v>0.44517543900000012</v>
      </c>
      <c r="F84">
        <v>97</v>
      </c>
    </row>
    <row r="85" spans="1:6" x14ac:dyDescent="0.25">
      <c r="A85" s="3">
        <v>4</v>
      </c>
      <c r="B85" s="3">
        <v>314</v>
      </c>
      <c r="C85" s="2">
        <v>37.799999999999997</v>
      </c>
      <c r="D85" s="3">
        <v>1.087</v>
      </c>
      <c r="E85" s="5">
        <v>0.44748571399999992</v>
      </c>
      <c r="F85">
        <v>98</v>
      </c>
    </row>
    <row r="86" spans="1:6" x14ac:dyDescent="0.25">
      <c r="A86" s="3">
        <v>4</v>
      </c>
      <c r="B86" s="3">
        <v>42</v>
      </c>
      <c r="C86" s="2">
        <v>31</v>
      </c>
      <c r="D86" s="3">
        <v>1.0920000000000001</v>
      </c>
      <c r="E86" s="5">
        <v>0.45248571400000004</v>
      </c>
      <c r="F86">
        <v>99</v>
      </c>
    </row>
    <row r="87" spans="1:6" x14ac:dyDescent="0.25">
      <c r="A87" s="3">
        <v>4</v>
      </c>
      <c r="B87" s="3">
        <v>252</v>
      </c>
      <c r="C87" s="2">
        <v>56.6</v>
      </c>
      <c r="D87" s="3">
        <v>1.0940000000000001</v>
      </c>
      <c r="E87" s="5">
        <v>0.45448571400000004</v>
      </c>
      <c r="F87">
        <v>100</v>
      </c>
    </row>
    <row r="88" spans="1:6" x14ac:dyDescent="0.25">
      <c r="A88" s="3">
        <v>2</v>
      </c>
      <c r="B88" s="3">
        <v>289</v>
      </c>
      <c r="C88" s="2">
        <v>54.6</v>
      </c>
      <c r="D88" s="3">
        <v>1.1439999999999999</v>
      </c>
      <c r="E88" s="5">
        <v>0.45615789499999992</v>
      </c>
      <c r="F88">
        <v>101</v>
      </c>
    </row>
    <row r="89" spans="1:6" x14ac:dyDescent="0.25">
      <c r="A89" s="3">
        <v>2</v>
      </c>
      <c r="B89" s="3">
        <v>83</v>
      </c>
      <c r="C89" s="2">
        <v>37.4</v>
      </c>
      <c r="D89" s="3">
        <v>1.1459999999999999</v>
      </c>
      <c r="E89" s="5">
        <v>0.45815789499999993</v>
      </c>
      <c r="F89">
        <v>102</v>
      </c>
    </row>
    <row r="90" spans="1:6" x14ac:dyDescent="0.25">
      <c r="A90" s="3">
        <v>5</v>
      </c>
      <c r="B90" s="3">
        <v>15</v>
      </c>
      <c r="C90" s="2">
        <v>36.799999999999997</v>
      </c>
      <c r="D90" s="3">
        <v>1.1080000000000001</v>
      </c>
      <c r="E90" s="5">
        <v>0.46117543900000013</v>
      </c>
      <c r="F90">
        <v>103</v>
      </c>
    </row>
    <row r="91" spans="1:6" x14ac:dyDescent="0.25">
      <c r="A91" s="3">
        <v>1</v>
      </c>
      <c r="B91" s="3">
        <v>98</v>
      </c>
      <c r="C91" s="2">
        <v>43.2</v>
      </c>
      <c r="D91" s="3">
        <v>1.0529999999999999</v>
      </c>
      <c r="E91" s="5">
        <v>0.46729729699999989</v>
      </c>
      <c r="F91">
        <v>104</v>
      </c>
    </row>
    <row r="92" spans="1:6" x14ac:dyDescent="0.25">
      <c r="A92" s="3">
        <v>5</v>
      </c>
      <c r="B92" s="3">
        <v>205</v>
      </c>
      <c r="C92" s="2">
        <v>43.4</v>
      </c>
      <c r="D92" s="3">
        <v>1.143</v>
      </c>
      <c r="E92" s="5">
        <v>0.49617543900000005</v>
      </c>
      <c r="F92">
        <v>105</v>
      </c>
    </row>
    <row r="93" spans="1:6" x14ac:dyDescent="0.25">
      <c r="A93" s="3">
        <v>3</v>
      </c>
      <c r="B93" s="3">
        <v>111</v>
      </c>
      <c r="C93" s="2">
        <v>41.8</v>
      </c>
      <c r="D93" s="3">
        <v>1.1299999999999999</v>
      </c>
      <c r="E93" s="5">
        <v>0.51189999999999991</v>
      </c>
      <c r="F93">
        <v>106</v>
      </c>
    </row>
    <row r="94" spans="1:6" x14ac:dyDescent="0.25">
      <c r="A94" s="3">
        <v>4</v>
      </c>
      <c r="B94" s="3">
        <v>119</v>
      </c>
      <c r="C94" s="2">
        <v>73.8</v>
      </c>
      <c r="D94" s="3">
        <v>1.1830000000000001</v>
      </c>
      <c r="E94" s="5">
        <v>0.54348571400000001</v>
      </c>
      <c r="F94">
        <v>107</v>
      </c>
    </row>
    <row r="95" spans="1:6" x14ac:dyDescent="0.25">
      <c r="A95" s="3">
        <v>5</v>
      </c>
      <c r="B95" s="3">
        <v>292</v>
      </c>
      <c r="C95" s="2">
        <v>75.2</v>
      </c>
      <c r="D95" s="3">
        <v>1.2010000000000001</v>
      </c>
      <c r="E95" s="5">
        <v>0.5541754390000001</v>
      </c>
      <c r="F95">
        <v>108</v>
      </c>
    </row>
    <row r="96" spans="1:6" x14ac:dyDescent="0.25">
      <c r="A96" s="3">
        <v>2</v>
      </c>
      <c r="B96" s="3">
        <v>166</v>
      </c>
      <c r="C96" s="2">
        <v>58.2</v>
      </c>
      <c r="D96" s="3">
        <v>1.2509999999999999</v>
      </c>
      <c r="E96" s="5">
        <v>0.56315789499999991</v>
      </c>
      <c r="F96">
        <v>109</v>
      </c>
    </row>
    <row r="97" spans="1:6" x14ac:dyDescent="0.25">
      <c r="A97" s="3">
        <v>2</v>
      </c>
      <c r="B97" s="3">
        <v>84</v>
      </c>
      <c r="C97" s="2">
        <v>54.4</v>
      </c>
      <c r="D97" s="3">
        <v>1.262</v>
      </c>
      <c r="E97" s="5">
        <v>0.57415789500000003</v>
      </c>
      <c r="F97">
        <v>110</v>
      </c>
    </row>
    <row r="98" spans="1:6" x14ac:dyDescent="0.25">
      <c r="A98" s="3">
        <v>4</v>
      </c>
      <c r="B98" s="3">
        <v>218</v>
      </c>
      <c r="C98" s="2">
        <v>41.6</v>
      </c>
      <c r="D98" s="3">
        <v>1.2190000000000001</v>
      </c>
      <c r="E98" s="5">
        <v>0.57948571400000004</v>
      </c>
      <c r="F98">
        <v>111</v>
      </c>
    </row>
    <row r="99" spans="1:6" x14ac:dyDescent="0.25">
      <c r="A99" s="3">
        <v>2</v>
      </c>
      <c r="B99" s="3">
        <v>71</v>
      </c>
      <c r="C99" s="2">
        <v>26</v>
      </c>
      <c r="D99" s="3">
        <v>1.292</v>
      </c>
      <c r="E99" s="5">
        <v>0.60415789500000006</v>
      </c>
      <c r="F99">
        <v>113</v>
      </c>
    </row>
    <row r="100" spans="1:6" x14ac:dyDescent="0.25">
      <c r="A100" s="3">
        <v>5</v>
      </c>
      <c r="B100" s="3">
        <v>253</v>
      </c>
      <c r="C100" s="2">
        <v>46.6</v>
      </c>
      <c r="D100" s="3">
        <v>1.2749999999999999</v>
      </c>
      <c r="E100" s="5">
        <v>0.62817543899999995</v>
      </c>
      <c r="F100">
        <v>114</v>
      </c>
    </row>
    <row r="101" spans="1:6" x14ac:dyDescent="0.25">
      <c r="A101" s="3">
        <v>4</v>
      </c>
      <c r="B101" s="3">
        <v>143</v>
      </c>
      <c r="C101" s="2">
        <v>76.8</v>
      </c>
      <c r="D101" s="3">
        <v>1.3280000000000001</v>
      </c>
      <c r="E101" s="5">
        <v>0.68848571400000003</v>
      </c>
      <c r="F101">
        <v>116</v>
      </c>
    </row>
    <row r="102" spans="1:6" x14ac:dyDescent="0.25">
      <c r="A102" s="3">
        <v>4</v>
      </c>
      <c r="B102" s="3">
        <v>192</v>
      </c>
      <c r="C102" s="2">
        <v>43.4</v>
      </c>
      <c r="D102" s="3">
        <v>1.3360000000000001</v>
      </c>
      <c r="E102" s="5">
        <v>0.69648571400000003</v>
      </c>
      <c r="F102">
        <v>117</v>
      </c>
    </row>
    <row r="103" spans="1:6" x14ac:dyDescent="0.25">
      <c r="A103" s="3">
        <v>2</v>
      </c>
      <c r="B103" s="3">
        <v>86</v>
      </c>
      <c r="C103" s="2">
        <v>49.4</v>
      </c>
      <c r="D103" s="3">
        <v>1.4039999999999999</v>
      </c>
      <c r="E103" s="5">
        <v>0.71615789499999993</v>
      </c>
      <c r="F103">
        <v>118</v>
      </c>
    </row>
    <row r="104" spans="1:6" x14ac:dyDescent="0.25">
      <c r="A104" s="3">
        <v>3</v>
      </c>
      <c r="B104" s="3">
        <v>179</v>
      </c>
      <c r="C104" s="2">
        <v>31.2</v>
      </c>
      <c r="D104" s="3">
        <v>1.345</v>
      </c>
      <c r="E104" s="5">
        <v>0.72689999999999999</v>
      </c>
      <c r="F104">
        <v>119</v>
      </c>
    </row>
    <row r="105" spans="1:6" x14ac:dyDescent="0.25">
      <c r="A105" s="3">
        <v>3</v>
      </c>
      <c r="B105" s="3">
        <v>319</v>
      </c>
      <c r="C105" s="2">
        <v>88.6</v>
      </c>
      <c r="D105" s="3">
        <v>1.3480000000000001</v>
      </c>
      <c r="E105" s="5">
        <v>0.7299000000000001</v>
      </c>
      <c r="F105">
        <v>120</v>
      </c>
    </row>
    <row r="106" spans="1:6" x14ac:dyDescent="0.25">
      <c r="A106" s="3">
        <v>5</v>
      </c>
      <c r="B106" s="3">
        <v>175</v>
      </c>
      <c r="C106" s="2">
        <v>81.400000000000006</v>
      </c>
      <c r="D106" s="3">
        <v>1.3779999999999999</v>
      </c>
      <c r="E106" s="5">
        <v>0.73117543899999993</v>
      </c>
      <c r="F106">
        <v>121</v>
      </c>
    </row>
    <row r="107" spans="1:6" x14ac:dyDescent="0.25">
      <c r="A107" s="3">
        <v>3</v>
      </c>
      <c r="B107" s="3">
        <v>226</v>
      </c>
      <c r="C107" s="2">
        <v>37.4</v>
      </c>
      <c r="D107" s="3">
        <v>1.379</v>
      </c>
      <c r="E107" s="5">
        <v>0.76090000000000002</v>
      </c>
      <c r="F107">
        <v>122</v>
      </c>
    </row>
    <row r="108" spans="1:6" x14ac:dyDescent="0.25">
      <c r="A108" s="3">
        <v>3</v>
      </c>
      <c r="B108" s="3">
        <v>308</v>
      </c>
      <c r="C108" s="2">
        <v>57.6</v>
      </c>
      <c r="D108" s="3">
        <v>1.4079999999999999</v>
      </c>
      <c r="E108" s="5">
        <v>0.78989999999999994</v>
      </c>
      <c r="F108">
        <v>123</v>
      </c>
    </row>
    <row r="109" spans="1:6" x14ac:dyDescent="0.25">
      <c r="A109" s="3">
        <v>2</v>
      </c>
      <c r="B109" s="3">
        <v>50</v>
      </c>
      <c r="C109" s="2">
        <v>68.2</v>
      </c>
      <c r="D109" s="3">
        <v>1.4970000000000001</v>
      </c>
      <c r="E109" s="5">
        <v>0.80915789500000013</v>
      </c>
      <c r="F109">
        <v>124</v>
      </c>
    </row>
    <row r="110" spans="1:6" x14ac:dyDescent="0.25">
      <c r="A110" s="3">
        <v>4</v>
      </c>
      <c r="B110" s="3">
        <v>227</v>
      </c>
      <c r="C110" s="2">
        <v>63.2</v>
      </c>
      <c r="D110" s="3">
        <v>1.4550000000000001</v>
      </c>
      <c r="E110" s="5">
        <v>0.81548571400000003</v>
      </c>
      <c r="F110">
        <v>125</v>
      </c>
    </row>
    <row r="111" spans="1:6" x14ac:dyDescent="0.25">
      <c r="A111" s="3">
        <v>4</v>
      </c>
      <c r="B111" s="3">
        <v>312</v>
      </c>
      <c r="C111" s="2">
        <v>109</v>
      </c>
      <c r="D111" s="3">
        <v>1.4630000000000001</v>
      </c>
      <c r="E111" s="5">
        <v>0.82348571400000004</v>
      </c>
      <c r="F111">
        <v>126</v>
      </c>
    </row>
    <row r="112" spans="1:6" x14ac:dyDescent="0.25">
      <c r="A112" s="3">
        <v>4</v>
      </c>
      <c r="B112" s="3">
        <v>180</v>
      </c>
      <c r="C112" s="2">
        <v>46.4</v>
      </c>
      <c r="D112" s="3">
        <v>1.464</v>
      </c>
      <c r="E112" s="5">
        <v>0.82448571399999993</v>
      </c>
      <c r="F112">
        <v>127</v>
      </c>
    </row>
    <row r="113" spans="1:6" x14ac:dyDescent="0.25">
      <c r="A113" s="3">
        <v>5</v>
      </c>
      <c r="B113" s="3">
        <v>25</v>
      </c>
      <c r="C113" s="2">
        <v>53.2</v>
      </c>
      <c r="D113" s="3">
        <v>1.5029999999999999</v>
      </c>
      <c r="E113" s="5">
        <v>0.85617543899999993</v>
      </c>
      <c r="F113">
        <v>128</v>
      </c>
    </row>
    <row r="114" spans="1:6" x14ac:dyDescent="0.25">
      <c r="A114" s="3">
        <v>4</v>
      </c>
      <c r="B114" s="3">
        <v>224</v>
      </c>
      <c r="C114" s="2">
        <v>40.799999999999997</v>
      </c>
      <c r="D114" s="3">
        <v>1.5369999999999999</v>
      </c>
      <c r="E114" s="5">
        <v>0.89748571399999988</v>
      </c>
      <c r="F114">
        <v>129</v>
      </c>
    </row>
    <row r="115" spans="1:6" x14ac:dyDescent="0.25">
      <c r="A115" s="3">
        <v>2</v>
      </c>
      <c r="B115" s="3">
        <v>229</v>
      </c>
      <c r="C115" s="2">
        <v>35</v>
      </c>
      <c r="D115" s="3">
        <v>1.623</v>
      </c>
      <c r="E115" s="5">
        <v>0.93515789500000002</v>
      </c>
      <c r="F115">
        <v>130</v>
      </c>
    </row>
    <row r="116" spans="1:6" x14ac:dyDescent="0.25">
      <c r="A116" s="3">
        <v>4</v>
      </c>
      <c r="B116" s="3">
        <v>220</v>
      </c>
      <c r="C116" s="2">
        <v>49</v>
      </c>
      <c r="D116" s="3">
        <v>1.5860000000000001</v>
      </c>
      <c r="E116" s="5">
        <v>0.94648571400000003</v>
      </c>
      <c r="F116">
        <v>131</v>
      </c>
    </row>
    <row r="117" spans="1:6" x14ac:dyDescent="0.25">
      <c r="A117" s="3">
        <v>1</v>
      </c>
      <c r="B117" s="3">
        <v>284</v>
      </c>
      <c r="C117" s="2">
        <v>70.400000000000006</v>
      </c>
      <c r="D117" s="3">
        <v>1.536</v>
      </c>
      <c r="E117" s="5">
        <v>0.95029729699999999</v>
      </c>
      <c r="F117">
        <v>132</v>
      </c>
    </row>
    <row r="118" spans="1:6" x14ac:dyDescent="0.25">
      <c r="A118" s="3">
        <v>5</v>
      </c>
      <c r="B118" s="3">
        <v>302</v>
      </c>
      <c r="C118" s="2">
        <v>98.2</v>
      </c>
      <c r="D118" s="3">
        <v>1.6080000000000001</v>
      </c>
      <c r="E118" s="5">
        <v>0.96117543900000013</v>
      </c>
      <c r="F118">
        <v>133</v>
      </c>
    </row>
    <row r="119" spans="1:6" x14ac:dyDescent="0.25">
      <c r="A119" s="3">
        <v>2</v>
      </c>
      <c r="B119" s="3">
        <v>43</v>
      </c>
      <c r="C119" s="2">
        <v>69.8</v>
      </c>
      <c r="D119" s="3">
        <v>1.681</v>
      </c>
      <c r="E119" s="5">
        <v>0.99315789500000007</v>
      </c>
      <c r="F119">
        <v>134</v>
      </c>
    </row>
    <row r="120" spans="1:6" x14ac:dyDescent="0.25">
      <c r="A120" s="3">
        <v>5</v>
      </c>
      <c r="B120" s="3">
        <v>328</v>
      </c>
      <c r="C120" s="2">
        <v>54.4</v>
      </c>
      <c r="D120" s="3">
        <v>1.6459999999999999</v>
      </c>
      <c r="E120" s="5">
        <v>0.99917543899999994</v>
      </c>
      <c r="F120">
        <v>135</v>
      </c>
    </row>
    <row r="121" spans="1:6" x14ac:dyDescent="0.25">
      <c r="A121" s="3">
        <v>4</v>
      </c>
      <c r="B121" s="3">
        <v>264</v>
      </c>
      <c r="C121" s="2">
        <v>42.4</v>
      </c>
      <c r="D121" s="3">
        <v>1.649</v>
      </c>
      <c r="E121" s="5">
        <v>1.009485714</v>
      </c>
      <c r="F121">
        <v>136</v>
      </c>
    </row>
    <row r="122" spans="1:6" x14ac:dyDescent="0.25">
      <c r="A122" s="3">
        <v>5</v>
      </c>
      <c r="B122" s="3">
        <v>29</v>
      </c>
      <c r="C122" s="2">
        <v>68</v>
      </c>
      <c r="D122" s="3">
        <v>1.6619999999999999</v>
      </c>
      <c r="E122" s="5">
        <v>1.0151754390000001</v>
      </c>
      <c r="F122">
        <v>137</v>
      </c>
    </row>
    <row r="123" spans="1:6" x14ac:dyDescent="0.25">
      <c r="A123" s="3">
        <v>5</v>
      </c>
      <c r="B123" s="3">
        <v>177</v>
      </c>
      <c r="C123" s="2">
        <v>60.2</v>
      </c>
      <c r="D123" s="3">
        <v>1.679</v>
      </c>
      <c r="E123" s="5">
        <v>1.032175439</v>
      </c>
      <c r="F123">
        <v>138</v>
      </c>
    </row>
    <row r="124" spans="1:6" x14ac:dyDescent="0.25">
      <c r="A124" s="3">
        <v>3</v>
      </c>
      <c r="B124" s="3">
        <v>134</v>
      </c>
      <c r="C124" s="2">
        <v>45.6</v>
      </c>
      <c r="D124" s="3">
        <v>1.6859999999999999</v>
      </c>
      <c r="E124" s="5">
        <v>1.0678999999999998</v>
      </c>
      <c r="F124">
        <v>139</v>
      </c>
    </row>
    <row r="125" spans="1:6" x14ac:dyDescent="0.25">
      <c r="A125" s="3">
        <v>2</v>
      </c>
      <c r="B125" s="3">
        <v>309</v>
      </c>
      <c r="C125" s="2">
        <v>65.400000000000006</v>
      </c>
      <c r="D125" s="3">
        <v>1.8129999999999999</v>
      </c>
      <c r="E125" s="5">
        <v>1.1251578950000001</v>
      </c>
      <c r="F125">
        <v>141</v>
      </c>
    </row>
    <row r="126" spans="1:6" x14ac:dyDescent="0.25">
      <c r="A126" s="3">
        <v>1</v>
      </c>
      <c r="B126" s="3">
        <v>261</v>
      </c>
      <c r="C126" s="2">
        <v>60.8</v>
      </c>
      <c r="D126" s="3">
        <v>1.7310000000000001</v>
      </c>
      <c r="E126" s="5">
        <v>1.1452972969999999</v>
      </c>
      <c r="F126">
        <v>142</v>
      </c>
    </row>
    <row r="127" spans="1:6" x14ac:dyDescent="0.25">
      <c r="A127" s="3">
        <v>1</v>
      </c>
      <c r="B127" s="3">
        <v>70</v>
      </c>
      <c r="C127" s="2">
        <v>21.4</v>
      </c>
      <c r="D127" s="3">
        <v>1.746</v>
      </c>
      <c r="E127" s="5">
        <v>1.1602972970000001</v>
      </c>
      <c r="F127">
        <v>143</v>
      </c>
    </row>
    <row r="128" spans="1:6" x14ac:dyDescent="0.25">
      <c r="A128" s="3">
        <v>1</v>
      </c>
      <c r="B128" s="3">
        <v>122</v>
      </c>
      <c r="C128" s="2">
        <v>35.799999999999997</v>
      </c>
      <c r="D128" s="3">
        <v>1.7709999999999999</v>
      </c>
      <c r="E128" s="5">
        <v>1.185297297</v>
      </c>
      <c r="F128">
        <v>145</v>
      </c>
    </row>
    <row r="129" spans="1:6" x14ac:dyDescent="0.25">
      <c r="A129" s="3">
        <v>4</v>
      </c>
      <c r="B129" s="3">
        <v>181</v>
      </c>
      <c r="C129" s="2">
        <v>89.4</v>
      </c>
      <c r="D129" s="3">
        <v>1.845</v>
      </c>
      <c r="E129" s="5">
        <v>1.2054857139999999</v>
      </c>
      <c r="F129">
        <v>146</v>
      </c>
    </row>
    <row r="130" spans="1:6" x14ac:dyDescent="0.25">
      <c r="A130" s="3">
        <v>1</v>
      </c>
      <c r="B130" s="3">
        <v>223</v>
      </c>
      <c r="C130" s="2">
        <v>59.4</v>
      </c>
      <c r="D130" s="3">
        <v>1.8380000000000001</v>
      </c>
      <c r="E130" s="5">
        <v>1.2522972970000001</v>
      </c>
      <c r="F130">
        <v>147</v>
      </c>
    </row>
    <row r="131" spans="1:6" x14ac:dyDescent="0.25">
      <c r="A131" s="3">
        <v>2</v>
      </c>
      <c r="B131" s="3">
        <v>221</v>
      </c>
      <c r="C131" s="2">
        <v>28</v>
      </c>
      <c r="D131" s="3">
        <v>1.958</v>
      </c>
      <c r="E131" s="5">
        <v>1.2701578950000001</v>
      </c>
      <c r="F131">
        <v>148</v>
      </c>
    </row>
    <row r="132" spans="1:6" x14ac:dyDescent="0.25">
      <c r="A132" s="3">
        <v>1</v>
      </c>
      <c r="B132" s="3">
        <v>259</v>
      </c>
      <c r="C132" s="2">
        <v>49.4</v>
      </c>
      <c r="D132" s="3">
        <v>1.875</v>
      </c>
      <c r="E132" s="5">
        <v>1.2892972970000001</v>
      </c>
      <c r="F132">
        <v>149</v>
      </c>
    </row>
    <row r="133" spans="1:6" x14ac:dyDescent="0.25">
      <c r="A133" s="3">
        <v>4</v>
      </c>
      <c r="B133" s="3">
        <v>194</v>
      </c>
      <c r="C133" s="2">
        <v>48</v>
      </c>
      <c r="D133" s="3">
        <v>1.9710000000000001</v>
      </c>
      <c r="E133" s="5">
        <v>1.331485714</v>
      </c>
      <c r="F133">
        <v>150</v>
      </c>
    </row>
    <row r="134" spans="1:6" x14ac:dyDescent="0.25">
      <c r="A134" s="3">
        <v>4</v>
      </c>
      <c r="B134" s="3">
        <v>158</v>
      </c>
      <c r="C134" s="2">
        <v>28</v>
      </c>
      <c r="D134" s="3">
        <v>2.0129999999999999</v>
      </c>
      <c r="E134" s="5">
        <v>1.3734857139999999</v>
      </c>
      <c r="F134">
        <v>152</v>
      </c>
    </row>
    <row r="135" spans="1:6" x14ac:dyDescent="0.25">
      <c r="A135" s="3">
        <v>2</v>
      </c>
      <c r="B135" s="3">
        <v>99</v>
      </c>
      <c r="C135" s="2">
        <v>28.2</v>
      </c>
      <c r="D135" s="3">
        <v>2.101</v>
      </c>
      <c r="E135" s="5">
        <v>1.4131578949999999</v>
      </c>
      <c r="F135">
        <v>153</v>
      </c>
    </row>
    <row r="136" spans="1:6" x14ac:dyDescent="0.25">
      <c r="A136" s="3">
        <v>3</v>
      </c>
      <c r="B136" s="3">
        <v>295</v>
      </c>
      <c r="C136" s="2">
        <v>39</v>
      </c>
      <c r="D136" s="3">
        <v>2.16</v>
      </c>
      <c r="E136" s="5">
        <v>1.5419</v>
      </c>
      <c r="F136">
        <v>154</v>
      </c>
    </row>
    <row r="137" spans="1:6" x14ac:dyDescent="0.25">
      <c r="A137" s="3">
        <v>3</v>
      </c>
      <c r="B137" s="3">
        <v>298</v>
      </c>
      <c r="C137" s="2">
        <v>57.2</v>
      </c>
      <c r="D137" s="3">
        <v>2.1739999999999999</v>
      </c>
      <c r="E137" s="5">
        <v>1.5558999999999998</v>
      </c>
      <c r="F137">
        <v>155</v>
      </c>
    </row>
    <row r="138" spans="1:6" x14ac:dyDescent="0.25">
      <c r="A138" s="3">
        <v>1</v>
      </c>
      <c r="B138" s="3">
        <v>145</v>
      </c>
      <c r="C138" s="2">
        <v>46.4</v>
      </c>
      <c r="D138" s="3">
        <v>3.383</v>
      </c>
      <c r="E138" s="5">
        <v>2.7972972970000001</v>
      </c>
      <c r="F138">
        <v>156</v>
      </c>
    </row>
  </sheetData>
  <sortState xmlns:xlrd2="http://schemas.microsoft.com/office/spreadsheetml/2017/richdata2" ref="A2:F138">
    <sortCondition ref="E2:E138"/>
  </sortState>
  <conditionalFormatting sqref="D1:D137 D139:D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37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9DEC-DB29-4C3C-9B77-9E283583A82B}">
  <dimension ref="A1:B21"/>
  <sheetViews>
    <sheetView workbookViewId="0">
      <selection activeCell="I16" sqref="I16"/>
    </sheetView>
  </sheetViews>
  <sheetFormatPr defaultRowHeight="15.75" x14ac:dyDescent="0.25"/>
  <cols>
    <col min="1" max="1" width="14.5" customWidth="1"/>
    <col min="2" max="2" width="15.5" customWidth="1"/>
  </cols>
  <sheetData>
    <row r="1" spans="1:2" x14ac:dyDescent="0.25">
      <c r="A1" s="7" t="s">
        <v>16</v>
      </c>
      <c r="B1" s="7" t="s">
        <v>17</v>
      </c>
    </row>
    <row r="2" spans="1:2" x14ac:dyDescent="0.25">
      <c r="A2">
        <v>145</v>
      </c>
      <c r="B2">
        <v>263</v>
      </c>
    </row>
    <row r="3" spans="1:2" x14ac:dyDescent="0.25">
      <c r="A3">
        <v>298</v>
      </c>
      <c r="B3">
        <v>267</v>
      </c>
    </row>
    <row r="4" spans="1:2" x14ac:dyDescent="0.25">
      <c r="A4">
        <v>295</v>
      </c>
      <c r="B4">
        <v>304</v>
      </c>
    </row>
    <row r="5" spans="1:2" x14ac:dyDescent="0.25">
      <c r="A5">
        <v>99</v>
      </c>
      <c r="B5">
        <v>169</v>
      </c>
    </row>
    <row r="6" spans="1:2" x14ac:dyDescent="0.25">
      <c r="A6">
        <v>158</v>
      </c>
      <c r="B6">
        <v>110</v>
      </c>
    </row>
    <row r="7" spans="1:2" x14ac:dyDescent="0.25">
      <c r="A7">
        <v>194</v>
      </c>
      <c r="B7">
        <v>211</v>
      </c>
    </row>
    <row r="8" spans="1:2" x14ac:dyDescent="0.25">
      <c r="A8">
        <v>259</v>
      </c>
      <c r="B8">
        <v>17</v>
      </c>
    </row>
    <row r="9" spans="1:2" x14ac:dyDescent="0.25">
      <c r="A9">
        <v>221</v>
      </c>
      <c r="B9">
        <v>282</v>
      </c>
    </row>
    <row r="10" spans="1:2" x14ac:dyDescent="0.25">
      <c r="A10">
        <v>223</v>
      </c>
      <c r="B10">
        <v>101</v>
      </c>
    </row>
    <row r="11" spans="1:2" x14ac:dyDescent="0.25">
      <c r="A11">
        <v>181</v>
      </c>
      <c r="B11">
        <v>320</v>
      </c>
    </row>
    <row r="12" spans="1:2" x14ac:dyDescent="0.25">
      <c r="A12">
        <v>122</v>
      </c>
      <c r="B12">
        <v>92</v>
      </c>
    </row>
    <row r="13" spans="1:2" x14ac:dyDescent="0.25">
      <c r="A13">
        <v>70</v>
      </c>
      <c r="B13">
        <v>149</v>
      </c>
    </row>
    <row r="14" spans="1:2" x14ac:dyDescent="0.25">
      <c r="A14">
        <v>261</v>
      </c>
      <c r="B14">
        <v>123</v>
      </c>
    </row>
    <row r="15" spans="1:2" x14ac:dyDescent="0.25">
      <c r="A15">
        <v>309</v>
      </c>
      <c r="B15">
        <v>117</v>
      </c>
    </row>
    <row r="16" spans="1:2" x14ac:dyDescent="0.25">
      <c r="A16">
        <v>134</v>
      </c>
      <c r="B16">
        <v>187</v>
      </c>
    </row>
    <row r="17" spans="1:2" x14ac:dyDescent="0.25">
      <c r="A17">
        <v>177</v>
      </c>
      <c r="B17">
        <v>329</v>
      </c>
    </row>
    <row r="18" spans="1:2" x14ac:dyDescent="0.25">
      <c r="A18">
        <v>29</v>
      </c>
      <c r="B18">
        <v>234</v>
      </c>
    </row>
    <row r="19" spans="1:2" x14ac:dyDescent="0.25">
      <c r="A19">
        <v>264</v>
      </c>
      <c r="B19">
        <v>247</v>
      </c>
    </row>
    <row r="20" spans="1:2" x14ac:dyDescent="0.25">
      <c r="A20">
        <v>328</v>
      </c>
      <c r="B20">
        <v>125</v>
      </c>
    </row>
    <row r="21" spans="1:2" x14ac:dyDescent="0.25">
      <c r="A21">
        <v>43</v>
      </c>
      <c r="B2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Individuals Ranked</vt:lpstr>
      <vt:lpstr>Tank1</vt:lpstr>
      <vt:lpstr>Tank2</vt:lpstr>
      <vt:lpstr>Tank3</vt:lpstr>
      <vt:lpstr>Tank4</vt:lpstr>
      <vt:lpstr>Tank5</vt:lpstr>
      <vt:lpstr>Quantiles</vt:lpstr>
      <vt:lpstr>Sequenced Individuals Ranked</vt:lpstr>
      <vt:lpstr>cleaned sequenced</vt:lpstr>
      <vt:lpstr>Bulks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Chorak</dc:creator>
  <cp:lastModifiedBy>Hannay, Del</cp:lastModifiedBy>
  <dcterms:created xsi:type="dcterms:W3CDTF">2023-01-26T21:58:56Z</dcterms:created>
  <dcterms:modified xsi:type="dcterms:W3CDTF">2025-10-07T15:49:26Z</dcterms:modified>
</cp:coreProperties>
</file>